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ário" sheetId="1" state="visible" r:id="rId3"/>
    <sheet name="Premissas" sheetId="2" state="visible" r:id="rId4"/>
    <sheet name="Projeção Mensal" sheetId="3" state="visible" r:id="rId5"/>
    <sheet name="DRE Anual" sheetId="4" state="visible" r:id="rId6"/>
    <sheet name="Métricas SaaS" sheetId="5" state="visible" r:id="rId7"/>
    <sheet name="Gates de Transição" sheetId="6" state="visible" r:id="rId8"/>
    <sheet name="Investimento Inicial" sheetId="7" state="visible" r:id="rId9"/>
    <sheet name="VPL TIR Payback" sheetId="8" state="visible" r:id="rId10"/>
    <sheet name="Projeção 5 Anos" sheetId="9" state="visible" r:id="rId11"/>
    <sheet name="Pitch Metrics" sheetId="10" state="visible" r:id="rId12"/>
    <sheet name="Valu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<sst xmlns="http://schemas.openxmlformats.org/spreadsheetml/2006/main" count="715" uniqueCount="426">
  <si>
    <t xml:space="preserve">SPOTVIBE — RESUMO EXECUTIVO</t>
  </si>
  <si>
    <t xml:space="preserve">Roadmap em 3 fases empilhadas: Validação → Venda Direta → SaaS Promoter</t>
  </si>
  <si>
    <t xml:space="preserve">1. AS 3 FASES DO ROADMAP</t>
  </si>
  <si>
    <t xml:space="preserve">Fase</t>
  </si>
  <si>
    <t xml:space="preserve">Período</t>
  </si>
  <si>
    <t xml:space="preserve">Modelo de receita</t>
  </si>
  <si>
    <t xml:space="preserve">🚀 Fase 1 — Validação</t>
  </si>
  <si>
    <t xml:space="preserve">set/26 a fev/27</t>
  </si>
  <si>
    <t xml:space="preserve">Comissão de afiliado (5-10%)</t>
  </si>
  <si>
    <t xml:space="preserve">🎫 Fase 2 — Venda Direta</t>
  </si>
  <si>
    <t xml:space="preserve">mar/27 a ago/27</t>
  </si>
  <si>
    <t xml:space="preserve">Afiliado + Taxa de conveniência (5-8% líq.)</t>
  </si>
  <si>
    <t xml:space="preserve">💎 Fase 3 — SaaS Promoter</t>
  </si>
  <si>
    <t xml:space="preserve">set/27 a dez/28</t>
  </si>
  <si>
    <t xml:space="preserve">Afiliado + Venda direta + Assinatura R$ 49/99/149</t>
  </si>
  <si>
    <t xml:space="preserve">2. INVESTIMENTO INICIAL</t>
  </si>
  <si>
    <t xml:space="preserve">Total bootstrap</t>
  </si>
  <si>
    <t xml:space="preserve">Estrutura enxuta: legal + ferramentas + marketing inicial + capital de giro</t>
  </si>
  <si>
    <t xml:space="preserve">3. RECEITA BRUTA ANUAL</t>
  </si>
  <si>
    <t xml:space="preserve">Ano</t>
  </si>
  <si>
    <t xml:space="preserve">OTIMISTA</t>
  </si>
  <si>
    <t xml:space="preserve">REALISTA</t>
  </si>
  <si>
    <t xml:space="preserve">PESSIMISTA</t>
  </si>
  <si>
    <t xml:space="preserve">2026 (parcial)</t>
  </si>
  <si>
    <t xml:space="preserve">2027</t>
  </si>
  <si>
    <t xml:space="preserve">2028</t>
  </si>
  <si>
    <t xml:space="preserve">TOTAL 3 ANOS</t>
  </si>
  <si>
    <t xml:space="preserve">4. LUCRO LÍQUIDO ANUAL</t>
  </si>
  <si>
    <t xml:space="preserve">5. INDICADORES DE VIABILIDADE</t>
  </si>
  <si>
    <t xml:space="preserve">Indicador</t>
  </si>
  <si>
    <t xml:space="preserve">VPL (3 anos)</t>
  </si>
  <si>
    <t xml:space="preserve">TIR</t>
  </si>
  <si>
    <t xml:space="preserve">Viabilidade</t>
  </si>
  <si>
    <t xml:space="preserve">MRR final (dez/28)</t>
  </si>
  <si>
    <t xml:space="preserve">LTV / CAC</t>
  </si>
  <si>
    <t xml:space="preserve">6. OBSERVAÇÕES IMPORTANTES</t>
  </si>
  <si>
    <t xml:space="preserve">💡 Receita EMPILHADA: Fase 2 mantém afiliado da Fase 1. Fase 3 mantém ambas + adiciona SaaS.</t>
  </si>
  <si>
    <t xml:space="preserve">💡 Custos POR FASE: Fase 1 ~R$ 1,8k/mês | Fase 2 ~R$ 5k/mês | Fase 3 ~R$ 14k/mês.</t>
  </si>
  <si>
    <t xml:space="preserve">💡 Sócios SEM pró-labore até final de 2027. Apenas receita das vendas mantém operação.</t>
  </si>
  <si>
    <t xml:space="preserve">💡 Investimento inicial enxuto: sócios programadores fazem o produto, sem CLT inicial.</t>
  </si>
  <si>
    <t xml:space="preserve">💡 Gates de transição: aba 'Gates de Transição' tem checklist do que precisa bater antes de avançar.</t>
  </si>
  <si>
    <t xml:space="preserve">💡 Métricas SaaS (MRR, ARR, LTV/CAC): aba 'Métricas SaaS' — essenciais para investidor.</t>
  </si>
  <si>
    <t xml:space="preserve">💡 Premissas centralizadas: alterar valores azuis na aba 'Premissas' propaga para tudo.</t>
  </si>
  <si>
    <t xml:space="preserve">SPOTVIBE — PREMISSAS DO ROADMAP EM 3 FASES</t>
  </si>
  <si>
    <t xml:space="preserve">Fase 1 (Validação) → Fase 2 (Venda Direta) → Fase 3 (SaaS) | Receitas EMPILHADAS</t>
  </si>
  <si>
    <t xml:space="preserve">Variável</t>
  </si>
  <si>
    <t xml:space="preserve">Unidade</t>
  </si>
  <si>
    <t xml:space="preserve">Notas</t>
  </si>
  <si>
    <t xml:space="preserve">🚀 FASE 1 — VALIDAÇÃO (set/26 a fev/27, 6 meses)</t>
  </si>
  <si>
    <t xml:space="preserve">MAU (Usuários Ativos Mensais) — mês 1</t>
  </si>
  <si>
    <t xml:space="preserve">un</t>
  </si>
  <si>
    <t xml:space="preserve">AJUSTADO: 800 (mesmo nível do otimista)</t>
  </si>
  <si>
    <t xml:space="preserve">Crescimento mensal de MAU (Fase 1)</t>
  </si>
  <si>
    <t xml:space="preserve">% a.m.</t>
  </si>
  <si>
    <t xml:space="preserve">Base pequena cresce rápido</t>
  </si>
  <si>
    <t xml:space="preserve">CTR no link de afiliado</t>
  </si>
  <si>
    <t xml:space="preserve">%</t>
  </si>
  <si>
    <t xml:space="preserve">% MAU que clica em afiliado</t>
  </si>
  <si>
    <t xml:space="preserve">Conversão clique → compra</t>
  </si>
  <si>
    <t xml:space="preserve">% cliques que viram venda</t>
  </si>
  <si>
    <t xml:space="preserve">Ticket médio do ingresso</t>
  </si>
  <si>
    <t xml:space="preserve">R$</t>
  </si>
  <si>
    <t xml:space="preserve">Festas Rio (universitária/eletrônica)</t>
  </si>
  <si>
    <t xml:space="preserve">Comissão afiliado SpotVibe</t>
  </si>
  <si>
    <t xml:space="preserve">Sympla paga 10%; SuperIngressos 9%</t>
  </si>
  <si>
    <t xml:space="preserve">🎫 FASE 2 — VENDA DIRETA (mar/27 a ago/27, 6 meses)</t>
  </si>
  <si>
    <t xml:space="preserve">Crescimento mensal de MAU (Fase 2)</t>
  </si>
  <si>
    <t xml:space="preserve">Base maior, cresce menos</t>
  </si>
  <si>
    <t xml:space="preserve">Parceiros (casas/produtores) — mês 7</t>
  </si>
  <si>
    <t xml:space="preserve">AJUSTADO: ponte com conhecido (7-10 casas)</t>
  </si>
  <si>
    <t xml:space="preserve">Crescimento mensal de parceiros</t>
  </si>
  <si>
    <t xml:space="preserve">Aquisição de produtoras</t>
  </si>
  <si>
    <t xml:space="preserve">Ingressos vendidos/mês por parceiro</t>
  </si>
  <si>
    <t xml:space="preserve">Volume mensal por produtor</t>
  </si>
  <si>
    <t xml:space="preserve">Ticket médio venda direta</t>
  </si>
  <si>
    <t xml:space="preserve">Pode ser maior (festas premium)</t>
  </si>
  <si>
    <t xml:space="preserve">Taxa SpotVibe por ingresso direto (líq.)</t>
  </si>
  <si>
    <t xml:space="preserve">10% bruto − 3% gateway = 7% líq.</t>
  </si>
  <si>
    <t xml:space="preserve">💎 FASE 3 — SAAS PROMOTER (set/27 a dez/28, 16 meses)</t>
  </si>
  <si>
    <t xml:space="preserve">Crescimento mensal de MAU (Fase 3)</t>
  </si>
  <si>
    <t xml:space="preserve">Escala estabilizada</t>
  </si>
  <si>
    <t xml:space="preserve">Promoters assinantes — mês 13 (set/27)</t>
  </si>
  <si>
    <t xml:space="preserve">Início Fase 3</t>
  </si>
  <si>
    <t xml:space="preserve">Crescimento mensal de assinantes</t>
  </si>
  <si>
    <t xml:space="preserve">AJUSTADO: Referral + parcerias com casas (+4pp vs base)</t>
  </si>
  <si>
    <t xml:space="preserve">Churn mensal Promoter</t>
  </si>
  <si>
    <t xml:space="preserve">AJUSTADO: Plano anual com 20% desconto reduz churn (-3pp)</t>
  </si>
  <si>
    <t xml:space="preserve">Preço médio ponderado da assinatura</t>
  </si>
  <si>
    <t xml:space="preserve">AJUSTADO: Sem Basic R$49 — mix Pro 70% + Premium 30%</t>
  </si>
  <si>
    <t xml:space="preserve">💵 CUSTOS OPERACIONAIS MENSAIS POR FASE</t>
  </si>
  <si>
    <t xml:space="preserve">Item</t>
  </si>
  <si>
    <t xml:space="preserve">Fase 1 (R$/mês)</t>
  </si>
  <si>
    <t xml:space="preserve">Fase 2 (R$/mês)</t>
  </si>
  <si>
    <t xml:space="preserve">Fase 3 (R$/mês)</t>
  </si>
  <si>
    <t xml:space="preserve">Observação</t>
  </si>
  <si>
    <t xml:space="preserve">Contador (Lucro Presumido)</t>
  </si>
  <si>
    <t xml:space="preserve">Cresce com complexidade fiscal</t>
  </si>
  <si>
    <t xml:space="preserve">Domínio + Cloud (free tier → pago)</t>
  </si>
  <si>
    <t xml:space="preserve">Free tier na F1, escala depois</t>
  </si>
  <si>
    <t xml:space="preserve">Ferramentas SaaS</t>
  </si>
  <si>
    <t xml:space="preserve">Notion, Figma, GitHub, Slack</t>
  </si>
  <si>
    <t xml:space="preserve">Gateway de pagamento (custos fixos)</t>
  </si>
  <si>
    <t xml:space="preserve">Stripe/Mercado Pago</t>
  </si>
  <si>
    <t xml:space="preserve">Marketing pago</t>
  </si>
  <si>
    <t xml:space="preserve">Tráfego Meta/Google Rio</t>
  </si>
  <si>
    <t xml:space="preserve">Folha CLT (adiada — sócios fazem tudo até dez/28)</t>
  </si>
  <si>
    <t xml:space="preserve">AJUSTADO: ZERO. Sócios fazem tudo sem CLT</t>
  </si>
  <si>
    <t xml:space="preserve">Pró-Labore sócios</t>
  </si>
  <si>
    <t xml:space="preserve">⚠️ Zero até final 2027</t>
  </si>
  <si>
    <t xml:space="preserve">Suporte (terceirizado/freela)</t>
  </si>
  <si>
    <t xml:space="preserve">Atendimento ao produtor</t>
  </si>
  <si>
    <t xml:space="preserve">Materiais administrativos</t>
  </si>
  <si>
    <t xml:space="preserve">Contingência</t>
  </si>
  <si>
    <t xml:space="preserve">TOTAL MENSAL</t>
  </si>
  <si>
    <t xml:space="preserve">📊 TRIBUTOS SOBRE RECEITA (Lucro Presumido)</t>
  </si>
  <si>
    <t xml:space="preserve">PIS (cumulativo)</t>
  </si>
  <si>
    <t xml:space="preserve">COFINS (cumulativo)</t>
  </si>
  <si>
    <t xml:space="preserve">ISS (intermediação serviços)</t>
  </si>
  <si>
    <t xml:space="preserve">IRPJ (efetivo s/ receita presumida)</t>
  </si>
  <si>
    <t xml:space="preserve">CSLL (efetivo s/ receita presumida)</t>
  </si>
  <si>
    <t xml:space="preserve">Total tributos s/ Receita</t>
  </si>
  <si>
    <t xml:space="preserve">📈 TAXA DE DESCONTO (WACC)</t>
  </si>
  <si>
    <t xml:space="preserve">Taxa de desconto (a.a.)</t>
  </si>
  <si>
    <t xml:space="preserve">📈 PROJEÇÃO ANOS 4-5 (2029 e 2030) — high-level</t>
  </si>
  <si>
    <t xml:space="preserve">Variável (% crescimento anual)</t>
  </si>
  <si>
    <t xml:space="preserve">Unid.</t>
  </si>
  <si>
    <t xml:space="preserve">OTI</t>
  </si>
  <si>
    <t xml:space="preserve">REA</t>
  </si>
  <si>
    <t xml:space="preserve">PES</t>
  </si>
  <si>
    <t xml:space="preserve">Cresc. anual Receita Afiliado</t>
  </si>
  <si>
    <t xml:space="preserve">% a.a.</t>
  </si>
  <si>
    <t xml:space="preserve">Cap natural — mercado RJ</t>
  </si>
  <si>
    <t xml:space="preserve">Cresc. anual Receita Venda Direta</t>
  </si>
  <si>
    <t xml:space="preserve">Mais parceiros e volume</t>
  </si>
  <si>
    <t xml:space="preserve">Cresc. anual Receita SaaS</t>
  </si>
  <si>
    <t xml:space="preserve">Composição forte (MRR cresce)</t>
  </si>
  <si>
    <t xml:space="preserve">Custos mensais 2029</t>
  </si>
  <si>
    <t xml:space="preserve">R$/mês</t>
  </si>
  <si>
    <t xml:space="preserve">Inclui 1ª contratação CLT</t>
  </si>
  <si>
    <t xml:space="preserve">Custos mensais 2030</t>
  </si>
  <si>
    <t xml:space="preserve">Equipe de 3-4 pessoas</t>
  </si>
  <si>
    <t xml:space="preserve">SPOTVIBE — PROJEÇÃO MENSAL DETALHADA (28 MESES)</t>
  </si>
  <si>
    <t xml:space="preserve">━━ CENÁRIO OTIMISTA ━━</t>
  </si>
  <si>
    <t xml:space="preserve">Mês operacional</t>
  </si>
  <si>
    <t xml:space="preserve">M1
set/26</t>
  </si>
  <si>
    <t xml:space="preserve">M2
out/26</t>
  </si>
  <si>
    <t xml:space="preserve">M3
nov/26</t>
  </si>
  <si>
    <t xml:space="preserve">M4
dez/26</t>
  </si>
  <si>
    <t xml:space="preserve">M5
jan/27</t>
  </si>
  <si>
    <t xml:space="preserve">M6
fev/27</t>
  </si>
  <si>
    <t xml:space="preserve">M7
mar/27</t>
  </si>
  <si>
    <t xml:space="preserve">M8
abr/27</t>
  </si>
  <si>
    <t xml:space="preserve">M9
mai/27</t>
  </si>
  <si>
    <t xml:space="preserve">M10
jun/27</t>
  </si>
  <si>
    <t xml:space="preserve">M11
jul/27</t>
  </si>
  <si>
    <t xml:space="preserve">M12
ago/27</t>
  </si>
  <si>
    <t xml:space="preserve">M13
set/27</t>
  </si>
  <si>
    <t xml:space="preserve">M14
out/27</t>
  </si>
  <si>
    <t xml:space="preserve">M15
nov/27</t>
  </si>
  <si>
    <t xml:space="preserve">M16
dez/27</t>
  </si>
  <si>
    <t xml:space="preserve">M17
jan/28</t>
  </si>
  <si>
    <t xml:space="preserve">M18
fev/28</t>
  </si>
  <si>
    <t xml:space="preserve">M19
mar/28</t>
  </si>
  <si>
    <t xml:space="preserve">M20
abr/28</t>
  </si>
  <si>
    <t xml:space="preserve">M21
mai/28</t>
  </si>
  <si>
    <t xml:space="preserve">M22
jun/28</t>
  </si>
  <si>
    <t xml:space="preserve">M23
jul/28</t>
  </si>
  <si>
    <t xml:space="preserve">M24
ago/28</t>
  </si>
  <si>
    <t xml:space="preserve">M25
set/28</t>
  </si>
  <si>
    <t xml:space="preserve">M26
out/28</t>
  </si>
  <si>
    <t xml:space="preserve">M27
nov/28</t>
  </si>
  <si>
    <t xml:space="preserve">M28
dez/28</t>
  </si>
  <si>
    <t xml:space="preserve">TOTAL</t>
  </si>
  <si>
    <t xml:space="preserve">Fase do roadmap</t>
  </si>
  <si>
    <t xml:space="preserve">F1</t>
  </si>
  <si>
    <t xml:space="preserve">F2</t>
  </si>
  <si>
    <t xml:space="preserve">F3</t>
  </si>
  <si>
    <t xml:space="preserve">📊 MÉTRICAS OPERACIONAIS</t>
  </si>
  <si>
    <t xml:space="preserve">MAU (Usuários Ativos Mensais)</t>
  </si>
  <si>
    <t xml:space="preserve">Parceiros ativos</t>
  </si>
  <si>
    <t xml:space="preserve">Assinantes Promoter (SaaS)</t>
  </si>
  <si>
    <t xml:space="preserve">💰 RECEITA POR FONTE</t>
  </si>
  <si>
    <t xml:space="preserve">🔗 Receita Afiliado</t>
  </si>
  <si>
    <t xml:space="preserve">🎫 Receita Venda Direta</t>
  </si>
  <si>
    <t xml:space="preserve">💎 Receita SaaS Promoter (MRR)</t>
  </si>
  <si>
    <t xml:space="preserve">💰 RECEITA TOTAL MENSAL</t>
  </si>
  <si>
    <t xml:space="preserve">💸 CUSTOS OPERACIONAIS</t>
  </si>
  <si>
    <t xml:space="preserve">Custos operacionais (fixo da fase)</t>
  </si>
  <si>
    <t xml:space="preserve">Tributos s/ Receita (PIS+COFINS+ISS)</t>
  </si>
  <si>
    <t xml:space="preserve">IRPJ + CSLL (s/ receita presumida)</t>
  </si>
  <si>
    <t xml:space="preserve">📈 LUCRO/PREJUÍZO MENSAL</t>
  </si>
  <si>
    <t xml:space="preserve">💼 Fluxo de Caixa Acumulado</t>
  </si>
  <si>
    <t xml:space="preserve">━━ CENÁRIO REALISTA ━━</t>
  </si>
  <si>
    <t xml:space="preserve">━━ CENÁRIO PESSIMISTA ━━</t>
  </si>
  <si>
    <t xml:space="preserve">DRE ANUAL CONSOLIDADA</t>
  </si>
  <si>
    <t xml:space="preserve">2026 (OTI)</t>
  </si>
  <si>
    <t xml:space="preserve">2026 (REA)</t>
  </si>
  <si>
    <t xml:space="preserve">2026 (PES)</t>
  </si>
  <si>
    <t xml:space="preserve">2027 (OTI)</t>
  </si>
  <si>
    <t xml:space="preserve">2027 (REA)</t>
  </si>
  <si>
    <t xml:space="preserve">2027 (PES)</t>
  </si>
  <si>
    <t xml:space="preserve">2028 (OTI)</t>
  </si>
  <si>
    <t xml:space="preserve">2028 (REA)</t>
  </si>
  <si>
    <t xml:space="preserve">2028 (PES)</t>
  </si>
  <si>
    <t xml:space="preserve">(=) Receita Bruta</t>
  </si>
  <si>
    <t xml:space="preserve">   ↳ Receita Afiliado</t>
  </si>
  <si>
    <t xml:space="preserve">   ↳ Receita Venda Direta</t>
  </si>
  <si>
    <t xml:space="preserve">   ↳ Receita SaaS Promoter</t>
  </si>
  <si>
    <t xml:space="preserve">(-) Custos Operacionais</t>
  </si>
  <si>
    <t xml:space="preserve">(-) Tributos s/ Receita (PIS+COFINS+ISS)</t>
  </si>
  <si>
    <t xml:space="preserve">(=) Resultado Operacional</t>
  </si>
  <si>
    <t xml:space="preserve">(-) IRPJ + CSLL (se lucro)</t>
  </si>
  <si>
    <t xml:space="preserve">(=) LUCRO LÍQUIDO</t>
  </si>
  <si>
    <t xml:space="preserve">Margem Líquida (%)</t>
  </si>
  <si>
    <t xml:space="preserve">MÉTRICAS SAAS — MRR, ARR, LTV, CAC</t>
  </si>
  <si>
    <t xml:space="preserve">Indicadores-chave para o investidor avaliar a saúde do SaaS (Fase 3)</t>
  </si>
  <si>
    <t xml:space="preserve">Métrica</t>
  </si>
  <si>
    <t xml:space="preserve">Otimista</t>
  </si>
  <si>
    <t xml:space="preserve">Realista</t>
  </si>
  <si>
    <t xml:space="preserve">Pessimista</t>
  </si>
  <si>
    <t xml:space="preserve">ARR (Anual Recurring Revenue)</t>
  </si>
  <si>
    <t xml:space="preserve">Assinantes Promoter (dez/28)</t>
  </si>
  <si>
    <t xml:space="preserve">ARPU (preço médio mensal)</t>
  </si>
  <si>
    <t xml:space="preserve">Churn mensal</t>
  </si>
  <si>
    <t xml:space="preserve">LTV (Lifetime Value)</t>
  </si>
  <si>
    <t xml:space="preserve">CAC estimado (Marketing F3 / aquisição)</t>
  </si>
  <si>
    <t xml:space="preserve">LTV / CAC (saudável &gt; 3x)</t>
  </si>
  <si>
    <t xml:space="preserve">Payback do CAC (meses)</t>
  </si>
  <si>
    <t xml:space="preserve">📝 NOTAS:</t>
  </si>
  <si>
    <t xml:space="preserve">LTV = ARPU / Churn. Quanto receita esperada de um assinante ao longo da vida.</t>
  </si>
  <si>
    <t xml:space="preserve">CAC estimado: custo de marketing da Fase 3 ÷ assinantes adquiridos.</t>
  </si>
  <si>
    <t xml:space="preserve">LTV / CAC &gt; 3x é saudável. &lt; 1x = está pagando mais pra adquirir do que ganha.</t>
  </si>
  <si>
    <t xml:space="preserve">Payback do CAC &lt; 12 meses é saudável. Quanto tempo o assinante leva pra pagar o custo de aquisição.</t>
  </si>
  <si>
    <t xml:space="preserve">GATES DE TRANSIÇÃO ENTRE FASES</t>
  </si>
  <si>
    <t xml:space="preserve">NÃO avance para a próxima fase até bater TODOS os critérios desta lista</t>
  </si>
  <si>
    <t xml:space="preserve">🚀 FASE 1 → FASE 2 (Validação para Venda Direta)</t>
  </si>
  <si>
    <t xml:space="preserve">Critério</t>
  </si>
  <si>
    <t xml:space="preserve">Status</t>
  </si>
  <si>
    <t xml:space="preserve">Detalhe</t>
  </si>
  <si>
    <t xml:space="preserve">2.000+ MAU consistentes por 2 meses</t>
  </si>
  <si>
    <t xml:space="preserve">☐ Não atingido</t>
  </si>
  <si>
    <t xml:space="preserve">Prova que tem audiência recorrente, não só curiosos</t>
  </si>
  <si>
    <t xml:space="preserve">CTR do afiliado &gt; 8%</t>
  </si>
  <si>
    <t xml:space="preserve">Prova que os usuários confiam no redirect</t>
  </si>
  <si>
    <t xml:space="preserve">Pelo menos 3 produtores pediram pra listar evento</t>
  </si>
  <si>
    <t xml:space="preserve">Demanda orgânica = sinal forte</t>
  </si>
  <si>
    <t xml:space="preserve">Dados de conversão documentados</t>
  </si>
  <si>
    <t xml:space="preserve">Ex: 'X% dos cliques viraram compra no Sympla'</t>
  </si>
  <si>
    <t xml:space="preserve">🎫 FASE 2 → FASE 3 (Venda Direta para SaaS)</t>
  </si>
  <si>
    <t xml:space="preserve">10.000+ MAU</t>
  </si>
  <si>
    <t xml:space="preserve">Volume suficiente pra justificar infraestrutura de pagamento</t>
  </si>
  <si>
    <t xml:space="preserve">15+ produtores parceiros ativos</t>
  </si>
  <si>
    <t xml:space="preserve">Pipeline de eventos estável sem depender de curadoria manual</t>
  </si>
  <si>
    <t xml:space="preserve">Receita mensal &gt; R$ 5.000 consistente</t>
  </si>
  <si>
    <t xml:space="preserve">Prova que o modelo sustenta operação</t>
  </si>
  <si>
    <t xml:space="preserve">Chargeback &lt; 2%</t>
  </si>
  <si>
    <t xml:space="preserve">Operação de pagamento saudável e controlada</t>
  </si>
  <si>
    <t xml:space="preserve">💎 FASE 3 — GATES DE ESCALA SaaS</t>
  </si>
  <si>
    <t xml:space="preserve">30.000+ MAU</t>
  </si>
  <si>
    <t xml:space="preserve">Audiência grande o suficiente pra promoter ver valor em pagar</t>
  </si>
  <si>
    <t xml:space="preserve">100+ promoters assinantes</t>
  </si>
  <si>
    <t xml:space="preserve">SaaS viável com base sólida de MRR</t>
  </si>
  <si>
    <t xml:space="preserve">MRR &gt; R$ 10.000</t>
  </si>
  <si>
    <t xml:space="preserve">Receita recorrente cobre custos e permite contratar</t>
  </si>
  <si>
    <t xml:space="preserve">NPS dos promoters &gt; 40</t>
  </si>
  <si>
    <t xml:space="preserve">Promoters satisfeitos = retenção + indicação orgânica</t>
  </si>
  <si>
    <t xml:space="preserve">LTV/CAC &gt; 3x</t>
  </si>
  <si>
    <t xml:space="preserve">Unit economics saudável — escala viável</t>
  </si>
  <si>
    <t xml:space="preserve">Churn &lt; 8% mensal</t>
  </si>
  <si>
    <t xml:space="preserve">Retenção saudável de assinantes</t>
  </si>
  <si>
    <t xml:space="preserve">⚠️ RISCOS POR FASE</t>
  </si>
  <si>
    <t xml:space="preserve">[FASE 1] Poucos eventos = app vazio = usuário desinstala</t>
  </si>
  <si>
    <t xml:space="preserve">Solução: foco em 1 região (Zona Sul + Lapa) com curadoria impecável</t>
  </si>
  <si>
    <t xml:space="preserve">[FASE 2] Chargeback e fraude em pagamentos</t>
  </si>
  <si>
    <t xml:space="preserve">Solução: comece com 2-3 parceiros de confiança, teste o fluxo antes de escalar</t>
  </si>
  <si>
    <t xml:space="preserve">[FASE 2] Produtor não recebe a tempo e perde confiança</t>
  </si>
  <si>
    <t xml:space="preserve">Solução: contratos claros com prazo de repasse (D+2)</t>
  </si>
  <si>
    <t xml:space="preserve">[FASE 2] QR Code falha na porta do evento</t>
  </si>
  <si>
    <t xml:space="preserve">Solução: teste exaustivo + plano B (lista manual)</t>
  </si>
  <si>
    <t xml:space="preserve">[FASE 3] Promoter cancela se não vender o suficiente pelo app</t>
  </si>
  <si>
    <t xml:space="preserve">Solução: trial grátis 30 dias, valor real antes de cobrar</t>
  </si>
  <si>
    <t xml:space="preserve">[FASE 3] Competição com ferramentas próprias do Sympla/Ingresse</t>
  </si>
  <si>
    <t xml:space="preserve">Solução: diferenciar por experiência, integração nativa e UX superior</t>
  </si>
  <si>
    <t xml:space="preserve">INVESTIMENTO INICIAL — BOOTSTRAP</t>
  </si>
  <si>
    <t xml:space="preserve">Sócios programadores fazem o produto, sem CLT inicial, infra free tier</t>
  </si>
  <si>
    <t xml:space="preserve">Preço unit.</t>
  </si>
  <si>
    <t xml:space="preserve">Qtd</t>
  </si>
  <si>
    <t xml:space="preserve">Total</t>
  </si>
  <si>
    <t xml:space="preserve">LEGAL E ABERTURA</t>
  </si>
  <si>
    <t xml:space="preserve">Abertura de empresa (MEI/ME) + contabilidade inicial</t>
  </si>
  <si>
    <t xml:space="preserve">CNPJ, alvará, contrato social</t>
  </si>
  <si>
    <t xml:space="preserve">Assessoria jurídica (termos de uso, LGPD)</t>
  </si>
  <si>
    <t xml:space="preserve">Termos, privacidade, contratos com produtores</t>
  </si>
  <si>
    <t xml:space="preserve">Registro de marca INPI</t>
  </si>
  <si>
    <t xml:space="preserve">Proteger o nome SpotVibe</t>
  </si>
  <si>
    <t xml:space="preserve">INFRAESTRUTURA E FERRAMENTAS</t>
  </si>
  <si>
    <t xml:space="preserve">Domínio + emails + SSL (1º ano)</t>
  </si>
  <si>
    <t xml:space="preserve">spotvibe.com.br + Google Workspace básico</t>
  </si>
  <si>
    <t xml:space="preserve">Identidade visual + logo + brand kit</t>
  </si>
  <si>
    <t xml:space="preserve">Designer freela (ou um dos sócios)</t>
  </si>
  <si>
    <t xml:space="preserve">Licenças de software 1º ano</t>
  </si>
  <si>
    <t xml:space="preserve">Figma, GitHub, Notion, Adobe (mínimos)</t>
  </si>
  <si>
    <t xml:space="preserve">MARKETING DE LANÇAMENTO</t>
  </si>
  <si>
    <t xml:space="preserve">Tráfego pago lançamento (RJ + SP + capitais)</t>
  </si>
  <si>
    <t xml:space="preserve">Lançamento + aquisição inicial</t>
  </si>
  <si>
    <t xml:space="preserve">Material gráfico + brindes networking</t>
  </si>
  <si>
    <t xml:space="preserve">Adesivos, cards, networking nas casas</t>
  </si>
  <si>
    <t xml:space="preserve">CAPITAL DE GIRO</t>
  </si>
  <si>
    <t xml:space="preserve">Reserva operacional (Fase 1 + custos de expansão)</t>
  </si>
  <si>
    <t xml:space="preserve">Cobertura de custo fixo até receita estabilizar</t>
  </si>
  <si>
    <t xml:space="preserve">Reserva contingência (multi-cidade)</t>
  </si>
  <si>
    <t xml:space="preserve">Imprevistos legais/operacionais</t>
  </si>
  <si>
    <t xml:space="preserve">TOTAL INVESTIMENTO INICIAL</t>
  </si>
  <si>
    <t xml:space="preserve">INDICADORES DE VIABILIDADE — VPL, TIR, PAYBACK (5 ANOS)</t>
  </si>
  <si>
    <t xml:space="preserve">Investimento Inicial</t>
  </si>
  <si>
    <t xml:space="preserve">Taxa de Desconto (WACC)</t>
  </si>
  <si>
    <t xml:space="preserve">FLUXOS DE CAIXA ANUAIS — 5 ANOS (Lucro Líquido)</t>
  </si>
  <si>
    <t xml:space="preserve">Cenário</t>
  </si>
  <si>
    <t xml:space="preserve">2026</t>
  </si>
  <si>
    <t xml:space="preserve">2029</t>
  </si>
  <si>
    <t xml:space="preserve">2030</t>
  </si>
  <si>
    <t xml:space="preserve">VPL (Valor Presente Líquido) — 5 ANOS</t>
  </si>
  <si>
    <t xml:space="preserve">Fluxo desc.</t>
  </si>
  <si>
    <t xml:space="preserve">Investimento</t>
  </si>
  <si>
    <t xml:space="preserve">VPL</t>
  </si>
  <si>
    <t xml:space="preserve">TIR (Taxa Interna de Retorno)</t>
  </si>
  <si>
    <t xml:space="preserve">PAYBACK — Fluxo de Caixa Acumulado (5 ANOS)</t>
  </si>
  <si>
    <t xml:space="preserve">Início</t>
  </si>
  <si>
    <t xml:space="preserve">Fim 2026</t>
  </si>
  <si>
    <t xml:space="preserve">Fim 2027</t>
  </si>
  <si>
    <t xml:space="preserve">Fim 2028</t>
  </si>
  <si>
    <t xml:space="preserve">Fim 2029</t>
  </si>
  <si>
    <t xml:space="preserve">Fim 2030</t>
  </si>
  <si>
    <t xml:space="preserve">TABELA AUXILIAR TIR</t>
  </si>
  <si>
    <t xml:space="preserve">Ano 0</t>
  </si>
  <si>
    <t xml:space="preserve">PROJEÇÃO 5 ANOS (2026-2030) — Visão para investidor</t>
  </si>
  <si>
    <t xml:space="preserve">Anos 1-3: dados detalhados da Projeção Mensal | Anos 4-5: high-level com crescimento anual</t>
  </si>
  <si>
    <t xml:space="preserve">Receita Afiliado</t>
  </si>
  <si>
    <t xml:space="preserve">Receita Venda Direta</t>
  </si>
  <si>
    <t xml:space="preserve">Receita SaaS Promoter</t>
  </si>
  <si>
    <t xml:space="preserve">RECEITA TOTAL</t>
  </si>
  <si>
    <t xml:space="preserve">💸 CUSTOS TOTAIS</t>
  </si>
  <si>
    <t xml:space="preserve">Custos Operacionais + Tributos</t>
  </si>
  <si>
    <t xml:space="preserve">📈 LUCRO LÍQUIDO</t>
  </si>
  <si>
    <t xml:space="preserve">💼 FLUXO DE CAIXA ACUMULADO (5 anos)</t>
  </si>
  <si>
    <t xml:space="preserve">(-) Investimento Inicial (ano 0)</t>
  </si>
  <si>
    <t xml:space="preserve">Fluxo acumulado</t>
  </si>
  <si>
    <t xml:space="preserve">💎 ARR (Annual Recurring Revenue) — SaaS apenas</t>
  </si>
  <si>
    <t xml:space="preserve">ARR (SaaS no ano)</t>
  </si>
  <si>
    <t xml:space="preserve">PITCH METRICS — o que investidor olha</t>
  </si>
  <si>
    <t xml:space="preserve">Métricas-chave de SaaS para apresentação a investidores anjo / seed / Série A</t>
  </si>
  <si>
    <t xml:space="preserve">Benchmark / Meta</t>
  </si>
  <si>
    <t xml:space="preserve">── UNIT ECONOMICS ──</t>
  </si>
  <si>
    <t xml:space="preserve">CAC (Custo de Aquisição)</t>
  </si>
  <si>
    <t xml:space="preserve">&lt; R$ 500 (saudável)</t>
  </si>
  <si>
    <t xml:space="preserve">&gt; R$ 1.500 (bom)</t>
  </si>
  <si>
    <t xml:space="preserve">LTV / CAC ratio</t>
  </si>
  <si>
    <t xml:space="preserve">&gt; 3x = saudável | &gt; 5x = excelente</t>
  </si>
  <si>
    <t xml:space="preserve">CAC Payback (meses)</t>
  </si>
  <si>
    <t xml:space="preserve">&lt; 12 meses (ideal)</t>
  </si>
  <si>
    <t xml:space="preserve">&lt; 5% (B2B saudável) | &lt; 8% (aceitável)</t>
  </si>
  <si>
    <t xml:space="preserve">── CRESCIMENTO E TRAÇÃO ──</t>
  </si>
  <si>
    <t xml:space="preserve">Métrica-chave para Série A: &gt; R$ 50k MRR</t>
  </si>
  <si>
    <t xml:space="preserve">MRR final 2030 (estimado)</t>
  </si>
  <si>
    <t xml:space="preserve">ARR/12 → escala em 5 anos</t>
  </si>
  <si>
    <t xml:space="preserve">ARR final 2030</t>
  </si>
  <si>
    <t xml:space="preserve">Drives valuation no múltiplo de receita</t>
  </si>
  <si>
    <t xml:space="preserve">Crescimento ARR 2028→2030 (CAGR)</t>
  </si>
  <si>
    <t xml:space="preserve">&gt; 80% a.a. (excelente para SaaS early)</t>
  </si>
  <si>
    <t xml:space="preserve">── SAÚDE FINANCEIRA ──</t>
  </si>
  <si>
    <t xml:space="preserve">Receita Total 2030</t>
  </si>
  <si>
    <t xml:space="preserve">Lucro Líquido 2030</t>
  </si>
  <si>
    <t xml:space="preserve">Margem Líquida 2030</t>
  </si>
  <si>
    <t xml:space="preserve">&gt; 20% (saudável SaaS maduro)</t>
  </si>
  <si>
    <t xml:space="preserve">Rule of 40 (Growth + Margin)</t>
  </si>
  <si>
    <t xml:space="preserve">&gt; 40% = SaaS saudável (regra do Bessemer)</t>
  </si>
  <si>
    <t xml:space="preserve">── BURN &amp; RUNWAY ──</t>
  </si>
  <si>
    <t xml:space="preserve">Burn rate médio Fase 3 (R$/mês)</t>
  </si>
  <si>
    <t xml:space="preserve">Pode ser zero se receita &gt; custo</t>
  </si>
  <si>
    <t xml:space="preserve">Pico de cash burn</t>
  </si>
  <si>
    <t xml:space="preserve">Quanto capital precisa ter no pior momento</t>
  </si>
  <si>
    <t xml:space="preserve">📝 NOTAS PARA O PITCH:</t>
  </si>
  <si>
    <t xml:space="preserve">• LTV/CAC &gt; 3x e CAC Payback &lt; 12 meses são as duas métricas mais importantes para SaaS B2B</t>
  </si>
  <si>
    <t xml:space="preserve">• Rule of 40 é o que VCs de série A+ olham para validar saúde do negócio em SaaS</t>
  </si>
  <si>
    <t xml:space="preserve">• Investidor anjo / seed se importa mais com tração atual e capacidade de execução do que com projeção 5 anos</t>
  </si>
  <si>
    <t xml:space="preserve">• Use o cenário REALISTA como base para discussão; OTIMISTA mostra potencial; PESSIMISTA mostra resiliência</t>
  </si>
  <si>
    <t xml:space="preserve">• MRR e ARR são as métricas-chave para qualquer SaaS — substituem 'receita' nas conversas com VCs</t>
  </si>
  <si>
    <t xml:space="preserve">VALUATION ESTIMADO — múltiplos SaaS B2B Brasil</t>
  </si>
  <si>
    <t xml:space="preserve">Faixa de valuation baseada em múltiplos de ARR e Receita para SaaS B2B brasileiro</t>
  </si>
  <si>
    <t xml:space="preserve">📚 REFERÊNCIAS DE MERCADO (SaaS B2B Brasil — 2024-2025)</t>
  </si>
  <si>
    <t xml:space="preserve">Múltiplo ARR — SaaS B2B Early-stage Brasil</t>
  </si>
  <si>
    <t xml:space="preserve">4x – 8x</t>
  </si>
  <si>
    <t xml:space="preserve">Empresas &lt;R$ 1M ARR, crescimento &lt;100%</t>
  </si>
  <si>
    <t xml:space="preserve">Múltiplo ARR — SaaS B2B Growth Brasil</t>
  </si>
  <si>
    <t xml:space="preserve">8x – 15x</t>
  </si>
  <si>
    <t xml:space="preserve">Empresas R$ 1-10M ARR, crescimento &gt;80%</t>
  </si>
  <si>
    <t xml:space="preserve">Múltiplo Receita — Marketplace B2C Brasil</t>
  </si>
  <si>
    <t xml:space="preserve">2x – 5x</t>
  </si>
  <si>
    <t xml:space="preserve">Modelo de transação (afiliado, venda direta)</t>
  </si>
  <si>
    <t xml:space="preserve">Rule of Thumb</t>
  </si>
  <si>
    <t xml:space="preserve">5x ARR + 2x receita não-recorrente</t>
  </si>
  <si>
    <t xml:space="preserve">Mistura SaaS + transação</t>
  </si>
  <si>
    <t xml:space="preserve">💰 VALUATION ESTIMADO POR CENÁRIO (final 2030)</t>
  </si>
  <si>
    <t xml:space="preserve">Múltiplo</t>
  </si>
  <si>
    <t xml:space="preserve">Comentário</t>
  </si>
  <si>
    <t xml:space="preserve">ARR 2030 (Receita SaaS)</t>
  </si>
  <si>
    <t xml:space="preserve">—</t>
  </si>
  <si>
    <t xml:space="preserve">Base do cálculo</t>
  </si>
  <si>
    <t xml:space="preserve">Receita não-SaaS 2030</t>
  </si>
  <si>
    <t xml:space="preserve">Afiliado + Venda Direta</t>
  </si>
  <si>
    <t xml:space="preserve">Cenários de valuation aplicados</t>
  </si>
  <si>
    <t xml:space="preserve">Cenário CONSERVADOR (4x ARR + 2x não-SaaS)</t>
  </si>
  <si>
    <t xml:space="preserve">4x / 2x</t>
  </si>
  <si>
    <t xml:space="preserve">Mercado em baixa, captação difícil</t>
  </si>
  <si>
    <t xml:space="preserve">Cenário REALISTA (8x ARR + 3x não-SaaS)</t>
  </si>
  <si>
    <t xml:space="preserve">8x / 3x</t>
  </si>
  <si>
    <t xml:space="preserve">Mercado normal, captação saudável</t>
  </si>
  <si>
    <t xml:space="preserve">Cenário OTIMISTA (12x ARR + 4x não-SaaS)</t>
  </si>
  <si>
    <t xml:space="preserve">12x / 4x</t>
  </si>
  <si>
    <t xml:space="preserve">Mercado em alta, tração comprovada</t>
  </si>
  <si>
    <t xml:space="preserve">📝 IMPORTANTE PARA O PITCH</t>
  </si>
  <si>
    <t xml:space="preserve">1. Valuation NUNCA é uma promessa — é uma estimativa baseada em múltiplos do mercado público + comps.</t>
  </si>
  <si>
    <t xml:space="preserve">2. SaaS B2B em fase early (pré-R$ 1M ARR) tem variância gigante. Investidor anjo paga 4-6x ARR; estratégico paga 10-15x.</t>
  </si>
  <si>
    <t xml:space="preserve">3. Em uma captação seed, o valuation é function da NEGOCIAÇÃO e da QUALIDADE DO TIME, não só do Excel.</t>
  </si>
  <si>
    <t xml:space="preserve">4. ARR é a métrica REI. Mais que receita total, o investidor olha quanto da sua receita é RECORRENTE.</t>
  </si>
  <si>
    <t xml:space="preserve">5. Para captar em 2027-2028: foque em chegar a R$ 30k+ MRR no REA antes de pedir valuation generoso.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</si>
</sst>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;[RED]&quot;(R$ &quot;#,##0\);\-"/>
    <numFmt numFmtId="166" formatCode="0.0%;[RED]\-0.0%;\-"/>
    <numFmt numFmtId="167" formatCode="0.00\x"/>
    <numFmt numFmtId="168" formatCode="#,##0;[RED]\-#,##0;\-"/>
    <numFmt numFmtId="169" formatCode="&quot;R$ &quot;#,##0.00;[RED]&quot;(R$ &quot;#,##0.00\);\-"/>
    <numFmt numFmtId="170" formatCode="0.0&quot; meses&quot;"/>
    <numFmt numFmtId="171" formatCode="0.0\x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i val="true"/>
      <sz val="9"/>
      <color rgb="FF05966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color rgb="FF6D28D9"/>
      <name val="Arial"/>
      <family val="0"/>
      <charset val="1"/>
    </font>
    <font>
      <b val="true"/>
      <sz val="9"/>
      <color rgb="FFBE185D"/>
      <name val="Arial"/>
      <family val="0"/>
      <charset val="1"/>
    </font>
    <font>
      <b val="true"/>
      <sz val="9"/>
      <color rgb="FF0E749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F172A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F172A"/>
        <bgColor rgb="FF1F2937"/>
      </patternFill>
    </fill>
    <fill>
      <patternFill patternType="solid">
        <fgColor rgb="FF1F2937"/>
        <bgColor rgb="FF0F172A"/>
      </patternFill>
    </fill>
    <fill>
      <patternFill patternType="solid">
        <fgColor rgb="FF334155"/>
        <bgColor rgb="FF1F2937"/>
      </patternFill>
    </fill>
    <fill>
      <patternFill patternType="solid">
        <fgColor rgb="FFEDE9FE"/>
        <bgColor rgb="FFE2E8F0"/>
      </patternFill>
    </fill>
    <fill>
      <patternFill patternType="solid">
        <fgColor rgb="FFFCE7F3"/>
        <bgColor rgb="FFFEE2E2"/>
      </patternFill>
    </fill>
    <fill>
      <patternFill patternType="solid">
        <fgColor rgb="FFCFFAFE"/>
        <bgColor rgb="FFD1FAE5"/>
      </patternFill>
    </fill>
    <fill>
      <patternFill patternType="solid">
        <fgColor rgb="FFFEF3C7"/>
        <bgColor rgb="FFFFF8DC"/>
      </patternFill>
    </fill>
    <fill>
      <patternFill patternType="solid">
        <fgColor rgb="FFF3F4F6"/>
        <bgColor rgb="FFEDE9FE"/>
      </patternFill>
    </fill>
    <fill>
      <patternFill patternType="solid">
        <fgColor rgb="FFD1FAE5"/>
        <bgColor rgb="FFCFFAFE"/>
      </patternFill>
    </fill>
    <fill>
      <patternFill patternType="solid">
        <fgColor rgb="FFFFF8DC"/>
        <bgColor rgb="FFFEF3C7"/>
      </patternFill>
    </fill>
    <fill>
      <patternFill patternType="solid">
        <fgColor rgb="FFE2E8F0"/>
        <bgColor rgb="FFDBEAFE"/>
      </patternFill>
    </fill>
    <fill>
      <patternFill patternType="solid">
        <fgColor rgb="FF10B981"/>
        <bgColor rgb="FF059669"/>
      </patternFill>
    </fill>
    <fill>
      <patternFill patternType="solid">
        <fgColor rgb="FFF59E0B"/>
        <bgColor rgb="FFFFCC00"/>
      </patternFill>
    </fill>
    <fill>
      <patternFill patternType="solid">
        <fgColor rgb="FFEF4444"/>
        <bgColor rgb="FFBE185D"/>
      </patternFill>
    </fill>
    <fill>
      <patternFill patternType="solid">
        <fgColor rgb="FF6D28D9"/>
        <bgColor rgb="FF800080"/>
      </patternFill>
    </fill>
    <fill>
      <patternFill patternType="solid">
        <fgColor rgb="FFBE185D"/>
        <bgColor rgb="FF993366"/>
      </patternFill>
    </fill>
    <fill>
      <patternFill patternType="solid">
        <fgColor rgb="FF0E7490"/>
        <bgColor rgb="FF0066CC"/>
      </patternFill>
    </fill>
    <fill>
      <patternFill patternType="solid">
        <fgColor rgb="FFFEE2E2"/>
        <bgColor rgb="FFFCE7F3"/>
      </patternFill>
    </fill>
    <fill>
      <patternFill patternType="solid">
        <fgColor rgb="FFDBEAFE"/>
        <bgColor rgb="FFE2E8F0"/>
      </patternFill>
    </fill>
    <fill>
      <patternFill patternType="solid">
        <fgColor rgb="FFA5F3FC"/>
        <bgColor rgb="FFCFF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 diagonalUp="false" diagonalDown="false">
      <left style="thin">
        <color rgb="FF9CA3AF"/>
      </left>
      <right/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E7490"/>
      <rgbColor rgb="FFEDE9FE"/>
      <rgbColor rgb="FF808080"/>
      <rgbColor rgb="FF9999FF"/>
      <rgbColor rgb="FFBE185D"/>
      <rgbColor rgb="FFFFF8DC"/>
      <rgbColor rgb="FFCFFAFE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DBEAFE"/>
      <rgbColor rgb="FFD1FAE5"/>
      <rgbColor rgb="FFFEF3C7"/>
      <rgbColor rgb="FFA5F3FC"/>
      <rgbColor rgb="FFFCE7F3"/>
      <rgbColor rgb="FFF3F4F6"/>
      <rgbColor rgb="FFFEE2E2"/>
      <rgbColor rgb="FF3366FF"/>
      <rgbColor rgb="FF33CCCC"/>
      <rgbColor rgb="FF99CC00"/>
      <rgbColor rgb="FFFFCC00"/>
      <rgbColor rgb="FFF59E0B"/>
      <rgbColor rgb="FFEF4444"/>
      <rgbColor rgb="FF666666"/>
      <rgbColor rgb="FF9CA3AF"/>
      <rgbColor rgb="FF003366"/>
      <rgbColor rgb="FF10B981"/>
      <rgbColor rgb="FF0F172A"/>
      <rgbColor rgb="FF333300"/>
      <rgbColor rgb="FF92400E"/>
      <rgbColor rgb="FF993366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6" min="3" style="1" width="16"/>
  </cols>
  <sheetData>
    <row r="2" customFormat="false" ht="37.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</row>
    <row r="6" customFormat="false" ht="15" hidden="false" customHeight="true" outlineLevel="0" collapsed="false">
      <c r="B6" s="5" t="s">
        <v>3</v>
      </c>
      <c r="C6" s="6" t="s">
        <v>4</v>
      </c>
      <c r="D6" s="7" t="s">
        <v>5</v>
      </c>
      <c r="E6" s="7"/>
      <c r="F6" s="7"/>
    </row>
    <row r="7" customFormat="false" ht="15" hidden="false" customHeight="true" outlineLevel="0" collapsed="false">
      <c r="B7" s="8" t="s">
        <v>6</v>
      </c>
      <c r="C7" s="9" t="s">
        <v>7</v>
      </c>
      <c r="D7" s="10" t="s">
        <v>8</v>
      </c>
      <c r="E7" s="10"/>
      <c r="F7" s="10"/>
    </row>
    <row r="8" customFormat="false" ht="15" hidden="false" customHeight="true" outlineLevel="0" collapsed="false">
      <c r="B8" s="11" t="s">
        <v>9</v>
      </c>
      <c r="C8" s="9" t="s">
        <v>10</v>
      </c>
      <c r="D8" s="10" t="s">
        <v>11</v>
      </c>
      <c r="E8" s="10"/>
      <c r="F8" s="10"/>
    </row>
    <row r="9" customFormat="false" ht="15" hidden="false" customHeight="true" outlineLevel="0" collapsed="false">
      <c r="B9" s="12" t="s">
        <v>12</v>
      </c>
      <c r="C9" s="9" t="s">
        <v>13</v>
      </c>
      <c r="D9" s="10" t="s">
        <v>14</v>
      </c>
      <c r="E9" s="10"/>
      <c r="F9" s="10"/>
    </row>
    <row r="11" customFormat="false" ht="15" hidden="false" customHeight="true" outlineLevel="0" collapsed="false">
      <c r="B11" s="13" t="s">
        <v>15</v>
      </c>
      <c r="C11" s="13"/>
      <c r="D11" s="13"/>
      <c r="E11" s="13"/>
      <c r="F11" s="13"/>
    </row>
    <row r="12" customFormat="false" ht="21.75" hidden="false" customHeight="true" outlineLevel="0" collapsed="false">
      <c r="B12" s="14" t="s">
        <v>16</v>
      </c>
      <c r="C12" s="15" t="n">
        <f aca="false">'Investimento Inicial'!D20</f>
        <v>65700</v>
      </c>
      <c r="D12" s="10" t="s">
        <v>17</v>
      </c>
      <c r="E12" s="10"/>
      <c r="F12" s="10"/>
    </row>
    <row r="14" customFormat="false" ht="15" hidden="false" customHeight="true" outlineLevel="0" collapsed="false">
      <c r="B14" s="13" t="s">
        <v>18</v>
      </c>
      <c r="C14" s="13"/>
      <c r="D14" s="13"/>
      <c r="E14" s="13"/>
      <c r="F14" s="13"/>
    </row>
    <row r="15" customFormat="false" ht="15" hidden="false" customHeight="true" outlineLevel="0" collapsed="false">
      <c r="B15" s="16" t="s">
        <v>19</v>
      </c>
      <c r="C15" s="17" t="s">
        <v>20</v>
      </c>
      <c r="D15" s="17" t="s">
        <v>21</v>
      </c>
      <c r="E15" s="17" t="s">
        <v>22</v>
      </c>
    </row>
    <row r="16" customFormat="false" ht="15" hidden="false" customHeight="true" outlineLevel="0" collapsed="false">
      <c r="B16" s="18" t="s">
        <v>23</v>
      </c>
      <c r="C16" s="19" t="n">
        <f aca="false">'DRE Anual'!B5</f>
        <v>3836.16</v>
      </c>
      <c r="D16" s="19" t="n">
        <f aca="false">'DRE Anual'!C5</f>
        <v>524.6696</v>
      </c>
      <c r="E16" s="19" t="n">
        <f aca="false">'DRE Anual'!D5</f>
        <v>32.95875</v>
      </c>
    </row>
    <row r="17" customFormat="false" ht="15" hidden="false" customHeight="true" outlineLevel="0" collapsed="false">
      <c r="B17" s="18" t="s">
        <v>24</v>
      </c>
      <c r="C17" s="19" t="n">
        <f aca="false">'DRE Anual'!E5</f>
        <v>374484.795</v>
      </c>
      <c r="D17" s="19" t="n">
        <f aca="false">'DRE Anual'!F5</f>
        <v>76100.1252</v>
      </c>
      <c r="E17" s="19" t="n">
        <f aca="false">'DRE Anual'!G5</f>
        <v>5910.2865</v>
      </c>
    </row>
    <row r="18" customFormat="false" ht="15" hidden="false" customHeight="true" outlineLevel="0" collapsed="false">
      <c r="B18" s="18" t="s">
        <v>25</v>
      </c>
      <c r="C18" s="19" t="n">
        <f aca="false">'DRE Anual'!H5</f>
        <v>4626983.55</v>
      </c>
      <c r="D18" s="19" t="n">
        <f aca="false">'DRE Anual'!I5</f>
        <v>553992.2204</v>
      </c>
      <c r="E18" s="19" t="n">
        <f aca="false">'DRE Anual'!J5</f>
        <v>19210.10925</v>
      </c>
    </row>
    <row r="19" customFormat="false" ht="15" hidden="false" customHeight="true" outlineLevel="0" collapsed="false">
      <c r="B19" s="20" t="s">
        <v>26</v>
      </c>
      <c r="C19" s="21" t="n">
        <f aca="false">SUM(C16:C18)</f>
        <v>5005304.505</v>
      </c>
      <c r="D19" s="21" t="n">
        <f aca="false">SUM(D16:D18)</f>
        <v>630617.0152</v>
      </c>
      <c r="E19" s="21" t="n">
        <f aca="false">SUM(E16:E18)</f>
        <v>25153.3545</v>
      </c>
    </row>
    <row r="21" customFormat="false" ht="15" hidden="false" customHeight="true" outlineLevel="0" collapsed="false">
      <c r="B21" s="13" t="s">
        <v>27</v>
      </c>
      <c r="C21" s="13"/>
      <c r="D21" s="13"/>
      <c r="E21" s="13"/>
      <c r="F21" s="13"/>
    </row>
    <row r="22" customFormat="false" ht="15" hidden="false" customHeight="true" outlineLevel="0" collapsed="false">
      <c r="B22" s="16" t="s">
        <v>19</v>
      </c>
      <c r="C22" s="17" t="s">
        <v>20</v>
      </c>
      <c r="D22" s="17" t="s">
        <v>21</v>
      </c>
      <c r="E22" s="17" t="s">
        <v>22</v>
      </c>
    </row>
    <row r="23" customFormat="false" ht="15" hidden="false" customHeight="true" outlineLevel="0" collapsed="false">
      <c r="B23" s="18" t="s">
        <v>23</v>
      </c>
      <c r="C23" s="19" t="n">
        <f aca="false">'DRE Anual'!B13</f>
        <v>-3618.94464</v>
      </c>
      <c r="D23" s="19" t="n">
        <f aca="false">'DRE Anual'!C13</f>
        <v>-6710.2209284</v>
      </c>
      <c r="E23" s="19" t="n">
        <f aca="false">'DRE Anual'!D13</f>
        <v>-7169.233006875</v>
      </c>
    </row>
    <row r="24" customFormat="false" ht="15" hidden="false" customHeight="true" outlineLevel="0" collapsed="false">
      <c r="B24" s="18" t="s">
        <v>24</v>
      </c>
      <c r="C24" s="19" t="n">
        <f aca="false">'DRE Anual'!E13</f>
        <v>91221.1238765</v>
      </c>
      <c r="D24" s="19" t="n">
        <f aca="false">'DRE Anual'!F13</f>
        <v>-158560.5331258</v>
      </c>
      <c r="E24" s="19" t="n">
        <f aca="false">'DRE Anual'!G13</f>
        <v>-224082.74755225</v>
      </c>
    </row>
    <row r="25" customFormat="false" ht="15" hidden="false" customHeight="true" outlineLevel="0" collapsed="false">
      <c r="B25" s="18" t="s">
        <v>25</v>
      </c>
      <c r="C25" s="19" t="n">
        <f aca="false">'DRE Anual'!H13</f>
        <v>3537936.807285</v>
      </c>
      <c r="D25" s="19" t="n">
        <f aca="false">'DRE Anual'!I13</f>
        <v>48605.1352166801</v>
      </c>
      <c r="E25" s="19" t="n">
        <f aca="false">'DRE Anual'!J13</f>
        <v>-408067.363015125</v>
      </c>
    </row>
    <row r="26" customFormat="false" ht="15" hidden="false" customHeight="true" outlineLevel="0" collapsed="false">
      <c r="B26" s="20" t="s">
        <v>26</v>
      </c>
      <c r="C26" s="21" t="n">
        <f aca="false">SUM(C23:C25)</f>
        <v>3625538.9865215</v>
      </c>
      <c r="D26" s="21" t="n">
        <f aca="false">SUM(D23:D25)</f>
        <v>-116665.61883752</v>
      </c>
      <c r="E26" s="21" t="n">
        <f aca="false">SUM(E23:E25)</f>
        <v>-639319.34357425</v>
      </c>
    </row>
    <row r="28" customFormat="false" ht="15" hidden="false" customHeight="true" outlineLevel="0" collapsed="false">
      <c r="B28" s="13" t="s">
        <v>28</v>
      </c>
      <c r="C28" s="13"/>
      <c r="D28" s="13"/>
      <c r="E28" s="13"/>
      <c r="F28" s="13"/>
    </row>
    <row r="29" customFormat="false" ht="15" hidden="false" customHeight="true" outlineLevel="0" collapsed="false">
      <c r="B29" s="16" t="s">
        <v>29</v>
      </c>
      <c r="C29" s="17" t="s">
        <v>20</v>
      </c>
      <c r="D29" s="17" t="s">
        <v>21</v>
      </c>
      <c r="E29" s="17" t="s">
        <v>22</v>
      </c>
    </row>
    <row r="30" customFormat="false" ht="15" hidden="false" customHeight="true" outlineLevel="0" collapsed="false">
      <c r="B30" s="18" t="s">
        <v>30</v>
      </c>
      <c r="C30" s="19" t="n">
        <f aca="false">'VPL TIR Payback'!D14</f>
        <v>11212898.8883693</v>
      </c>
      <c r="D30" s="19" t="n">
        <f aca="false">'VPL TIR Payback'!D15</f>
        <v>378095.148329486</v>
      </c>
      <c r="E30" s="19" t="n">
        <f aca="false">'VPL TIR Payback'!D16</f>
        <v>-796155.319647963</v>
      </c>
    </row>
    <row r="31" customFormat="false" ht="15" hidden="false" customHeight="true" outlineLevel="0" collapsed="false">
      <c r="B31" s="18" t="s">
        <v>31</v>
      </c>
      <c r="C31" s="22" t="n">
        <f aca="false">'VPL TIR Payback'!B19</f>
        <v>3.5044746960967</v>
      </c>
      <c r="D31" s="22" t="n">
        <f aca="false">'VPL TIR Payback'!B20</f>
        <v>0.641744729657685</v>
      </c>
      <c r="E31" s="22" t="str">
        <f aca="false">'VPL TIR Payback'!B21</f>
        <v>N/A</v>
      </c>
    </row>
    <row r="32" customFormat="false" ht="15" hidden="false" customHeight="true" outlineLevel="0" collapsed="false">
      <c r="B32" s="14" t="s">
        <v>32</v>
      </c>
      <c r="C32" s="23" t="str">
        <f aca="false">'VPL TIR Payback'!E14</f>
        <v>VIÁVEL</v>
      </c>
      <c r="D32" s="23" t="str">
        <f aca="false">'VPL TIR Payback'!E15</f>
        <v>VIÁVEL</v>
      </c>
      <c r="E32" s="23" t="str">
        <f aca="false">'VPL TIR Payback'!E16</f>
        <v>INVIÁVEL</v>
      </c>
    </row>
    <row r="33" customFormat="false" ht="15" hidden="false" customHeight="true" outlineLevel="0" collapsed="false">
      <c r="B33" s="18" t="s">
        <v>33</v>
      </c>
      <c r="C33" s="19" t="n">
        <f aca="false">'Métricas SaaS'!B5</f>
        <v>17550</v>
      </c>
      <c r="D33" s="19" t="n">
        <f aca="false">'Métricas SaaS'!C5</f>
        <v>8316</v>
      </c>
      <c r="E33" s="19" t="n">
        <f aca="false">'Métricas SaaS'!D5</f>
        <v>483</v>
      </c>
    </row>
    <row r="34" customFormat="false" ht="15" hidden="false" customHeight="true" outlineLevel="0" collapsed="false">
      <c r="B34" s="18" t="s">
        <v>34</v>
      </c>
      <c r="C34" s="24" t="n">
        <f aca="false">'Métricas SaaS'!B12</f>
        <v>6</v>
      </c>
      <c r="D34" s="24" t="n">
        <f aca="false">'Métricas SaaS'!C12</f>
        <v>2.64</v>
      </c>
      <c r="E34" s="24" t="n">
        <f aca="false">'Métricas SaaS'!D12</f>
        <v>-0.0119791666666667</v>
      </c>
    </row>
    <row r="36" customFormat="false" ht="15" hidden="false" customHeight="true" outlineLevel="0" collapsed="false">
      <c r="B36" s="13" t="s">
        <v>35</v>
      </c>
      <c r="C36" s="13"/>
      <c r="D36" s="13"/>
      <c r="E36" s="13"/>
      <c r="F36" s="13"/>
    </row>
    <row r="37" customFormat="false" ht="21.75" hidden="false" customHeight="true" outlineLevel="0" collapsed="false">
      <c r="B37" s="25" t="s">
        <v>36</v>
      </c>
      <c r="C37" s="25"/>
      <c r="D37" s="25"/>
      <c r="E37" s="25"/>
      <c r="F37" s="25"/>
    </row>
    <row r="38" customFormat="false" ht="21.75" hidden="false" customHeight="true" outlineLevel="0" collapsed="false">
      <c r="B38" s="25" t="s">
        <v>37</v>
      </c>
      <c r="C38" s="25"/>
      <c r="D38" s="25"/>
      <c r="E38" s="25"/>
      <c r="F38" s="25"/>
    </row>
    <row r="39" customFormat="false" ht="21.75" hidden="false" customHeight="true" outlineLevel="0" collapsed="false">
      <c r="B39" s="25" t="s">
        <v>38</v>
      </c>
      <c r="C39" s="25"/>
      <c r="D39" s="25"/>
      <c r="E39" s="25"/>
      <c r="F39" s="25"/>
    </row>
    <row r="40" customFormat="false" ht="21.75" hidden="false" customHeight="true" outlineLevel="0" collapsed="false">
      <c r="B40" s="25" t="s">
        <v>39</v>
      </c>
      <c r="C40" s="25"/>
      <c r="D40" s="25"/>
      <c r="E40" s="25"/>
      <c r="F40" s="25"/>
    </row>
    <row r="41" customFormat="false" ht="21.75" hidden="false" customHeight="true" outlineLevel="0" collapsed="false">
      <c r="B41" s="25" t="s">
        <v>40</v>
      </c>
      <c r="C41" s="25"/>
      <c r="D41" s="25"/>
      <c r="E41" s="25"/>
      <c r="F41" s="25"/>
    </row>
    <row r="42" customFormat="false" ht="21.75" hidden="false" customHeight="true" outlineLevel="0" collapsed="false">
      <c r="B42" s="25" t="s">
        <v>41</v>
      </c>
      <c r="C42" s="25"/>
      <c r="D42" s="25"/>
      <c r="E42" s="25"/>
      <c r="F42" s="25"/>
    </row>
    <row r="43" customFormat="false" ht="21.75" hidden="false" customHeight="true" outlineLevel="0" collapsed="false">
      <c r="B43" s="25" t="s">
        <v>42</v>
      </c>
      <c r="C43" s="25"/>
      <c r="D43" s="25"/>
      <c r="E43" s="25"/>
      <c r="F43" s="25"/>
    </row>
  </sheetData>
  <mergeCells count="20">
    <mergeCell ref="B2:F2"/>
    <mergeCell ref="B3:F3"/>
    <mergeCell ref="B5:F5"/>
    <mergeCell ref="D6:F6"/>
    <mergeCell ref="D7:F7"/>
    <mergeCell ref="D8:F8"/>
    <mergeCell ref="D9:F9"/>
    <mergeCell ref="B11:F11"/>
    <mergeCell ref="D12:F12"/>
    <mergeCell ref="B14:F14"/>
    <mergeCell ref="B21:F21"/>
    <mergeCell ref="B28:F28"/>
    <mergeCell ref="B36:F36"/>
    <mergeCell ref="B37:F37"/>
    <mergeCell ref="B38:F38"/>
    <mergeCell ref="B39:F39"/>
    <mergeCell ref="B40:F40"/>
    <mergeCell ref="B41:F41"/>
    <mergeCell ref="B42:F42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5"/>
    <col collapsed="false" customWidth="true" hidden="false" outlineLevel="0" max="7" min="3" style="1" width="16"/>
  </cols>
  <sheetData>
    <row r="2" customFormat="false" ht="30" hidden="false" customHeight="true" outlineLevel="0" collapsed="false">
      <c r="B2" s="26" t="s">
        <v>43</v>
      </c>
      <c r="C2" s="26"/>
      <c r="D2" s="26"/>
      <c r="E2" s="26"/>
      <c r="F2" s="26"/>
      <c r="G2" s="26"/>
    </row>
    <row r="3" customFormat="false" ht="15" hidden="false" customHeight="true" outlineLevel="0" collapsed="false">
      <c r="B3" s="3" t="s">
        <v>44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17" t="s">
        <v>45</v>
      </c>
      <c r="C5" s="17" t="s">
        <v>46</v>
      </c>
      <c r="D5" s="17" t="s">
        <v>20</v>
      </c>
      <c r="E5" s="17" t="s">
        <v>21</v>
      </c>
      <c r="F5" s="17" t="s">
        <v>22</v>
      </c>
      <c r="G5" s="17" t="s">
        <v>47</v>
      </c>
    </row>
    <row r="6" customFormat="false" ht="15" hidden="false" customHeight="true" outlineLevel="0" collapsed="false">
      <c r="B6" s="27" t="s">
        <v>48</v>
      </c>
      <c r="C6" s="27"/>
      <c r="D6" s="27"/>
      <c r="E6" s="27"/>
      <c r="F6" s="27"/>
      <c r="G6" s="27"/>
    </row>
    <row r="7" customFormat="false" ht="15" hidden="false" customHeight="true" outlineLevel="0" collapsed="false">
      <c r="B7" s="18" t="s">
        <v>49</v>
      </c>
      <c r="C7" s="28" t="s">
        <v>50</v>
      </c>
      <c r="D7" s="29" t="n">
        <v>4000</v>
      </c>
      <c r="E7" s="29" t="n">
        <v>2500</v>
      </c>
      <c r="F7" s="29" t="n">
        <v>800</v>
      </c>
      <c r="G7" s="30" t="s">
        <v>51</v>
      </c>
    </row>
    <row r="8" customFormat="false" ht="15" hidden="false" customHeight="true" outlineLevel="0" collapsed="false">
      <c r="B8" s="18" t="s">
        <v>52</v>
      </c>
      <c r="C8" s="28" t="s">
        <v>53</v>
      </c>
      <c r="D8" s="31" t="n">
        <v>0.4</v>
      </c>
      <c r="E8" s="31" t="n">
        <v>0.25</v>
      </c>
      <c r="F8" s="31" t="n">
        <v>0.15</v>
      </c>
      <c r="G8" s="32" t="s">
        <v>54</v>
      </c>
    </row>
    <row r="9" customFormat="false" ht="15" hidden="false" customHeight="true" outlineLevel="0" collapsed="false">
      <c r="B9" s="18" t="s">
        <v>55</v>
      </c>
      <c r="C9" s="28" t="s">
        <v>56</v>
      </c>
      <c r="D9" s="31" t="n">
        <v>0.12</v>
      </c>
      <c r="E9" s="31" t="n">
        <v>0.08</v>
      </c>
      <c r="F9" s="31" t="n">
        <v>0.05</v>
      </c>
      <c r="G9" s="32" t="s">
        <v>57</v>
      </c>
    </row>
    <row r="10" customFormat="false" ht="15" hidden="false" customHeight="true" outlineLevel="0" collapsed="false">
      <c r="B10" s="18" t="s">
        <v>58</v>
      </c>
      <c r="C10" s="28" t="s">
        <v>56</v>
      </c>
      <c r="D10" s="31" t="n">
        <v>0.15</v>
      </c>
      <c r="E10" s="31" t="n">
        <v>0.1</v>
      </c>
      <c r="F10" s="31" t="n">
        <v>0.06</v>
      </c>
      <c r="G10" s="32" t="s">
        <v>59</v>
      </c>
    </row>
    <row r="11" customFormat="false" ht="15" hidden="false" customHeight="true" outlineLevel="0" collapsed="false">
      <c r="B11" s="18" t="s">
        <v>60</v>
      </c>
      <c r="C11" s="28" t="s">
        <v>61</v>
      </c>
      <c r="D11" s="33" t="n">
        <v>75</v>
      </c>
      <c r="E11" s="33" t="n">
        <v>65</v>
      </c>
      <c r="F11" s="33" t="n">
        <v>55</v>
      </c>
      <c r="G11" s="32" t="s">
        <v>62</v>
      </c>
    </row>
    <row r="12" customFormat="false" ht="15" hidden="false" customHeight="true" outlineLevel="0" collapsed="false">
      <c r="B12" s="18" t="s">
        <v>63</v>
      </c>
      <c r="C12" s="28" t="s">
        <v>56</v>
      </c>
      <c r="D12" s="31" t="n">
        <v>0.1</v>
      </c>
      <c r="E12" s="31" t="n">
        <v>0.07</v>
      </c>
      <c r="F12" s="31" t="n">
        <v>0.05</v>
      </c>
      <c r="G12" s="32" t="s">
        <v>64</v>
      </c>
    </row>
    <row r="14" customFormat="false" ht="15" hidden="false" customHeight="true" outlineLevel="0" collapsed="false">
      <c r="B14" s="34" t="s">
        <v>65</v>
      </c>
      <c r="C14" s="34"/>
      <c r="D14" s="34"/>
      <c r="E14" s="34"/>
      <c r="F14" s="34"/>
      <c r="G14" s="34"/>
    </row>
    <row r="15" customFormat="false" ht="15" hidden="false" customHeight="true" outlineLevel="0" collapsed="false">
      <c r="B15" s="18" t="s">
        <v>66</v>
      </c>
      <c r="C15" s="28" t="s">
        <v>53</v>
      </c>
      <c r="D15" s="31" t="n">
        <v>0.2</v>
      </c>
      <c r="E15" s="31" t="n">
        <v>0.12</v>
      </c>
      <c r="F15" s="31" t="n">
        <v>0.06</v>
      </c>
      <c r="G15" s="32" t="s">
        <v>67</v>
      </c>
    </row>
    <row r="16" customFormat="false" ht="15" hidden="false" customHeight="true" outlineLevel="0" collapsed="false">
      <c r="B16" s="18" t="s">
        <v>68</v>
      </c>
      <c r="C16" s="28" t="s">
        <v>50</v>
      </c>
      <c r="D16" s="29" t="n">
        <v>40</v>
      </c>
      <c r="E16" s="29" t="n">
        <v>25</v>
      </c>
      <c r="F16" s="29" t="n">
        <v>5</v>
      </c>
      <c r="G16" s="30" t="s">
        <v>69</v>
      </c>
    </row>
    <row r="17" customFormat="false" ht="15" hidden="false" customHeight="true" outlineLevel="0" collapsed="false">
      <c r="B17" s="18" t="s">
        <v>70</v>
      </c>
      <c r="C17" s="28" t="s">
        <v>53</v>
      </c>
      <c r="D17" s="31" t="n">
        <v>0.25</v>
      </c>
      <c r="E17" s="31" t="n">
        <v>0.18</v>
      </c>
      <c r="F17" s="31" t="n">
        <v>0.1</v>
      </c>
      <c r="G17" s="32" t="s">
        <v>71</v>
      </c>
    </row>
    <row r="18" customFormat="false" ht="15" hidden="false" customHeight="true" outlineLevel="0" collapsed="false">
      <c r="B18" s="18" t="s">
        <v>72</v>
      </c>
      <c r="C18" s="28" t="s">
        <v>50</v>
      </c>
      <c r="D18" s="35" t="n">
        <v>30</v>
      </c>
      <c r="E18" s="35" t="n">
        <v>20</v>
      </c>
      <c r="F18" s="35" t="n">
        <v>12</v>
      </c>
      <c r="G18" s="32" t="s">
        <v>73</v>
      </c>
    </row>
    <row r="19" customFormat="false" ht="15" hidden="false" customHeight="true" outlineLevel="0" collapsed="false">
      <c r="B19" s="18" t="s">
        <v>74</v>
      </c>
      <c r="C19" s="28" t="s">
        <v>61</v>
      </c>
      <c r="D19" s="33" t="n">
        <v>85</v>
      </c>
      <c r="E19" s="33" t="n">
        <v>75</v>
      </c>
      <c r="F19" s="33" t="n">
        <v>65</v>
      </c>
      <c r="G19" s="32" t="s">
        <v>75</v>
      </c>
    </row>
    <row r="20" customFormat="false" ht="15" hidden="false" customHeight="true" outlineLevel="0" collapsed="false">
      <c r="B20" s="18" t="s">
        <v>76</v>
      </c>
      <c r="C20" s="28" t="s">
        <v>56</v>
      </c>
      <c r="D20" s="31" t="n">
        <v>0.08</v>
      </c>
      <c r="E20" s="31" t="n">
        <v>0.07</v>
      </c>
      <c r="F20" s="31" t="n">
        <v>0.05</v>
      </c>
      <c r="G20" s="32" t="s">
        <v>77</v>
      </c>
    </row>
    <row r="22" customFormat="false" ht="15" hidden="false" customHeight="true" outlineLevel="0" collapsed="false">
      <c r="B22" s="36" t="s">
        <v>78</v>
      </c>
      <c r="C22" s="36"/>
      <c r="D22" s="36"/>
      <c r="E22" s="36"/>
      <c r="F22" s="36"/>
      <c r="G22" s="36"/>
    </row>
    <row r="23" customFormat="false" ht="15" hidden="false" customHeight="true" outlineLevel="0" collapsed="false">
      <c r="B23" s="18" t="s">
        <v>79</v>
      </c>
      <c r="C23" s="28" t="s">
        <v>53</v>
      </c>
      <c r="D23" s="31" t="n">
        <v>0.1</v>
      </c>
      <c r="E23" s="31" t="n">
        <v>0.06</v>
      </c>
      <c r="F23" s="31" t="n">
        <v>0.03</v>
      </c>
      <c r="G23" s="32" t="s">
        <v>80</v>
      </c>
    </row>
    <row r="24" customFormat="false" ht="15" hidden="false" customHeight="true" outlineLevel="0" collapsed="false">
      <c r="B24" s="18" t="s">
        <v>81</v>
      </c>
      <c r="C24" s="28" t="s">
        <v>50</v>
      </c>
      <c r="D24" s="29" t="n">
        <v>35</v>
      </c>
      <c r="E24" s="29" t="n">
        <v>20</v>
      </c>
      <c r="F24" s="29" t="n">
        <v>8</v>
      </c>
      <c r="G24" s="32" t="s">
        <v>82</v>
      </c>
    </row>
    <row r="25" customFormat="false" ht="15" hidden="false" customHeight="true" outlineLevel="0" collapsed="false">
      <c r="B25" s="18" t="s">
        <v>83</v>
      </c>
      <c r="C25" s="28" t="s">
        <v>53</v>
      </c>
      <c r="D25" s="31" t="n">
        <v>0.18</v>
      </c>
      <c r="E25" s="37" t="n">
        <v>0.16</v>
      </c>
      <c r="F25" s="31" t="n">
        <v>0.06</v>
      </c>
      <c r="G25" s="30" t="s">
        <v>84</v>
      </c>
    </row>
    <row r="26" customFormat="false" ht="15" hidden="false" customHeight="true" outlineLevel="0" collapsed="false">
      <c r="B26" s="18" t="s">
        <v>85</v>
      </c>
      <c r="C26" s="28" t="s">
        <v>53</v>
      </c>
      <c r="D26" s="31" t="n">
        <v>0.05</v>
      </c>
      <c r="E26" s="37" t="n">
        <v>0.05</v>
      </c>
      <c r="F26" s="31" t="n">
        <v>0.12</v>
      </c>
      <c r="G26" s="30" t="s">
        <v>86</v>
      </c>
    </row>
    <row r="27" customFormat="false" ht="15" hidden="false" customHeight="true" outlineLevel="0" collapsed="false">
      <c r="B27" s="18" t="s">
        <v>87</v>
      </c>
      <c r="C27" s="28" t="s">
        <v>61</v>
      </c>
      <c r="D27" s="33" t="n">
        <v>90</v>
      </c>
      <c r="E27" s="38" t="n">
        <v>99</v>
      </c>
      <c r="F27" s="33" t="n">
        <v>69</v>
      </c>
      <c r="G27" s="30" t="s">
        <v>88</v>
      </c>
    </row>
    <row r="29" customFormat="false" ht="15" hidden="false" customHeight="true" outlineLevel="0" collapsed="false">
      <c r="B29" s="39" t="s">
        <v>89</v>
      </c>
      <c r="C29" s="39"/>
      <c r="D29" s="39"/>
      <c r="E29" s="39"/>
      <c r="F29" s="39"/>
      <c r="G29" s="39"/>
    </row>
    <row r="30" customFormat="false" ht="15" hidden="false" customHeight="true" outlineLevel="0" collapsed="false">
      <c r="B30" s="40" t="s">
        <v>90</v>
      </c>
      <c r="C30" s="40" t="s">
        <v>91</v>
      </c>
      <c r="D30" s="40" t="s">
        <v>92</v>
      </c>
      <c r="E30" s="40" t="s">
        <v>93</v>
      </c>
      <c r="F30" s="40" t="s">
        <v>94</v>
      </c>
      <c r="G30" s="40"/>
    </row>
    <row r="31" customFormat="false" ht="15" hidden="false" customHeight="true" outlineLevel="0" collapsed="false">
      <c r="B31" s="18" t="s">
        <v>95</v>
      </c>
      <c r="C31" s="33" t="n">
        <v>1500</v>
      </c>
      <c r="D31" s="33" t="n">
        <v>1500</v>
      </c>
      <c r="E31" s="33" t="n">
        <v>1800</v>
      </c>
      <c r="F31" s="32" t="s">
        <v>96</v>
      </c>
      <c r="G31" s="32"/>
    </row>
    <row r="32" customFormat="false" ht="15" hidden="false" customHeight="true" outlineLevel="0" collapsed="false">
      <c r="B32" s="18" t="s">
        <v>97</v>
      </c>
      <c r="C32" s="33" t="n">
        <v>0</v>
      </c>
      <c r="D32" s="41" t="n">
        <v>1500</v>
      </c>
      <c r="E32" s="41" t="n">
        <v>4000</v>
      </c>
      <c r="F32" s="32" t="s">
        <v>98</v>
      </c>
      <c r="G32" s="32"/>
    </row>
    <row r="33" customFormat="false" ht="15" hidden="false" customHeight="true" outlineLevel="0" collapsed="false">
      <c r="B33" s="18" t="s">
        <v>99</v>
      </c>
      <c r="C33" s="33" t="n">
        <v>200</v>
      </c>
      <c r="D33" s="33" t="n">
        <v>500</v>
      </c>
      <c r="E33" s="33" t="n">
        <v>1000</v>
      </c>
      <c r="F33" s="32" t="s">
        <v>100</v>
      </c>
      <c r="G33" s="32"/>
    </row>
    <row r="34" customFormat="false" ht="15" hidden="false" customHeight="true" outlineLevel="0" collapsed="false">
      <c r="B34" s="18" t="s">
        <v>101</v>
      </c>
      <c r="C34" s="33" t="n">
        <v>0</v>
      </c>
      <c r="D34" s="33" t="n">
        <v>100</v>
      </c>
      <c r="E34" s="33" t="n">
        <v>300</v>
      </c>
      <c r="F34" s="32" t="s">
        <v>102</v>
      </c>
      <c r="G34" s="32"/>
    </row>
    <row r="35" customFormat="false" ht="15" hidden="false" customHeight="true" outlineLevel="0" collapsed="false">
      <c r="B35" s="18" t="s">
        <v>103</v>
      </c>
      <c r="C35" s="33" t="n">
        <v>0</v>
      </c>
      <c r="D35" s="41" t="n">
        <v>3500</v>
      </c>
      <c r="E35" s="41" t="n">
        <v>8000</v>
      </c>
      <c r="F35" s="32" t="s">
        <v>104</v>
      </c>
      <c r="G35" s="32"/>
    </row>
    <row r="36" customFormat="false" ht="15" hidden="false" customHeight="true" outlineLevel="0" collapsed="false">
      <c r="B36" s="42" t="s">
        <v>105</v>
      </c>
      <c r="C36" s="33" t="n">
        <v>0</v>
      </c>
      <c r="D36" s="41" t="n">
        <v>5000</v>
      </c>
      <c r="E36" s="41" t="n">
        <v>15000</v>
      </c>
      <c r="F36" s="30" t="s">
        <v>106</v>
      </c>
      <c r="G36" s="30"/>
    </row>
    <row r="37" customFormat="false" ht="15" hidden="false" customHeight="true" outlineLevel="0" collapsed="false">
      <c r="B37" s="18" t="s">
        <v>107</v>
      </c>
      <c r="C37" s="33" t="n">
        <v>0</v>
      </c>
      <c r="D37" s="33" t="n">
        <v>0</v>
      </c>
      <c r="E37" s="33" t="n">
        <v>0</v>
      </c>
      <c r="F37" s="32" t="s">
        <v>108</v>
      </c>
      <c r="G37" s="32"/>
    </row>
    <row r="38" customFormat="false" ht="15" hidden="false" customHeight="true" outlineLevel="0" collapsed="false">
      <c r="B38" s="18" t="s">
        <v>109</v>
      </c>
      <c r="C38" s="33" t="n">
        <v>0</v>
      </c>
      <c r="D38" s="41" t="n">
        <v>1500</v>
      </c>
      <c r="E38" s="41" t="n">
        <v>4500</v>
      </c>
      <c r="F38" s="32" t="s">
        <v>110</v>
      </c>
      <c r="G38" s="32"/>
    </row>
    <row r="39" customFormat="false" ht="15" hidden="false" customHeight="true" outlineLevel="0" collapsed="false">
      <c r="B39" s="18" t="s">
        <v>111</v>
      </c>
      <c r="C39" s="33" t="n">
        <v>100</v>
      </c>
      <c r="D39" s="33" t="n">
        <v>200</v>
      </c>
      <c r="E39" s="33" t="n">
        <v>400</v>
      </c>
      <c r="F39" s="32"/>
      <c r="G39" s="32"/>
    </row>
    <row r="40" customFormat="false" ht="15" hidden="false" customHeight="true" outlineLevel="0" collapsed="false">
      <c r="B40" s="18" t="s">
        <v>112</v>
      </c>
      <c r="C40" s="33" t="n">
        <v>0</v>
      </c>
      <c r="D40" s="33" t="n">
        <v>200</v>
      </c>
      <c r="E40" s="33" t="n">
        <v>500</v>
      </c>
      <c r="F40" s="32"/>
      <c r="G40" s="32"/>
    </row>
    <row r="41" customFormat="false" ht="15" hidden="false" customHeight="true" outlineLevel="0" collapsed="false">
      <c r="B41" s="43" t="s">
        <v>113</v>
      </c>
      <c r="C41" s="44" t="n">
        <f aca="false">SUM(C31:C40)</f>
        <v>1800</v>
      </c>
      <c r="D41" s="44" t="n">
        <f aca="false">SUM(D31:D40)</f>
        <v>14000</v>
      </c>
      <c r="E41" s="44" t="n">
        <f aca="false">SUM(E31:E40)</f>
        <v>35500</v>
      </c>
      <c r="F41" s="45"/>
      <c r="G41" s="45"/>
    </row>
    <row r="43" customFormat="false" ht="15" hidden="false" customHeight="true" outlineLevel="0" collapsed="false">
      <c r="B43" s="39" t="s">
        <v>114</v>
      </c>
      <c r="C43" s="39"/>
      <c r="D43" s="39"/>
      <c r="E43" s="39"/>
      <c r="F43" s="39"/>
      <c r="G43" s="39"/>
    </row>
    <row r="44" customFormat="false" ht="15" hidden="false" customHeight="true" outlineLevel="0" collapsed="false">
      <c r="B44" s="18" t="s">
        <v>115</v>
      </c>
      <c r="C44" s="31" t="n">
        <v>0.0065</v>
      </c>
    </row>
    <row r="45" customFormat="false" ht="15" hidden="false" customHeight="true" outlineLevel="0" collapsed="false">
      <c r="B45" s="18" t="s">
        <v>116</v>
      </c>
      <c r="C45" s="31" t="n">
        <v>0.03</v>
      </c>
    </row>
    <row r="46" customFormat="false" ht="15" hidden="false" customHeight="true" outlineLevel="0" collapsed="false">
      <c r="B46" s="18" t="s">
        <v>117</v>
      </c>
      <c r="C46" s="31" t="n">
        <v>0.03</v>
      </c>
    </row>
    <row r="47" customFormat="false" ht="15" hidden="false" customHeight="true" outlineLevel="0" collapsed="false">
      <c r="B47" s="18" t="s">
        <v>118</v>
      </c>
      <c r="C47" s="31" t="n">
        <v>0.048</v>
      </c>
    </row>
    <row r="48" customFormat="false" ht="15" hidden="false" customHeight="true" outlineLevel="0" collapsed="false">
      <c r="B48" s="18" t="s">
        <v>119</v>
      </c>
      <c r="C48" s="31" t="n">
        <v>0.0288</v>
      </c>
    </row>
    <row r="49" customFormat="false" ht="15" hidden="false" customHeight="true" outlineLevel="0" collapsed="false">
      <c r="B49" s="43" t="s">
        <v>120</v>
      </c>
      <c r="C49" s="46" t="n">
        <f aca="false">SUM(C44:C48)</f>
        <v>0.1433</v>
      </c>
    </row>
    <row r="51" customFormat="false" ht="15" hidden="false" customHeight="true" outlineLevel="0" collapsed="false">
      <c r="B51" s="39" t="s">
        <v>121</v>
      </c>
      <c r="C51" s="39"/>
      <c r="D51" s="39"/>
      <c r="E51" s="39"/>
      <c r="F51" s="39"/>
      <c r="G51" s="39"/>
    </row>
    <row r="52" customFormat="false" ht="15" hidden="false" customHeight="true" outlineLevel="0" collapsed="false">
      <c r="B52" s="18" t="s">
        <v>122</v>
      </c>
      <c r="C52" s="47" t="n">
        <v>0.18</v>
      </c>
    </row>
    <row r="55" customFormat="false" ht="15" hidden="false" customHeight="true" outlineLevel="0" collapsed="false">
      <c r="B55" s="39" t="s">
        <v>123</v>
      </c>
      <c r="C55" s="39"/>
      <c r="D55" s="39"/>
      <c r="E55" s="39"/>
      <c r="F55" s="39"/>
      <c r="G55" s="39"/>
    </row>
    <row r="56" customFormat="false" ht="15" hidden="false" customHeight="true" outlineLevel="0" collapsed="false">
      <c r="B56" s="48" t="s">
        <v>124</v>
      </c>
      <c r="C56" s="40" t="s">
        <v>125</v>
      </c>
      <c r="D56" s="40" t="s">
        <v>126</v>
      </c>
      <c r="E56" s="40" t="s">
        <v>127</v>
      </c>
      <c r="F56" s="40" t="s">
        <v>128</v>
      </c>
      <c r="G56" s="48" t="s">
        <v>47</v>
      </c>
    </row>
    <row r="57" customFormat="false" ht="15" hidden="false" customHeight="true" outlineLevel="0" collapsed="false">
      <c r="B57" s="18" t="s">
        <v>129</v>
      </c>
      <c r="C57" s="28" t="s">
        <v>130</v>
      </c>
      <c r="D57" s="31" t="n">
        <v>0.3</v>
      </c>
      <c r="E57" s="31" t="n">
        <v>0.2</v>
      </c>
      <c r="F57" s="31" t="n">
        <v>0.1</v>
      </c>
      <c r="G57" s="32" t="s">
        <v>131</v>
      </c>
    </row>
    <row r="58" customFormat="false" ht="15" hidden="false" customHeight="true" outlineLevel="0" collapsed="false">
      <c r="B58" s="18" t="s">
        <v>132</v>
      </c>
      <c r="C58" s="28" t="s">
        <v>130</v>
      </c>
      <c r="D58" s="37" t="n">
        <v>0.85</v>
      </c>
      <c r="E58" s="37" t="n">
        <v>0.65</v>
      </c>
      <c r="F58" s="31" t="n">
        <v>0.2</v>
      </c>
      <c r="G58" s="32" t="s">
        <v>133</v>
      </c>
    </row>
    <row r="59" customFormat="false" ht="15" hidden="false" customHeight="true" outlineLevel="0" collapsed="false">
      <c r="B59" s="18" t="s">
        <v>134</v>
      </c>
      <c r="C59" s="28" t="s">
        <v>130</v>
      </c>
      <c r="D59" s="37" t="n">
        <v>1.8</v>
      </c>
      <c r="E59" s="37" t="n">
        <v>1.3</v>
      </c>
      <c r="F59" s="31" t="n">
        <v>0.3</v>
      </c>
      <c r="G59" s="32" t="s">
        <v>135</v>
      </c>
    </row>
    <row r="60" customFormat="false" ht="15" hidden="false" customHeight="true" outlineLevel="0" collapsed="false">
      <c r="B60" s="18" t="s">
        <v>136</v>
      </c>
      <c r="C60" s="28" t="s">
        <v>137</v>
      </c>
      <c r="D60" s="41" t="n">
        <v>45000</v>
      </c>
      <c r="E60" s="41" t="n">
        <v>35000</v>
      </c>
      <c r="F60" s="41" t="n">
        <v>25000</v>
      </c>
      <c r="G60" s="32" t="s">
        <v>138</v>
      </c>
    </row>
    <row r="61" customFormat="false" ht="15" hidden="false" customHeight="true" outlineLevel="0" collapsed="false">
      <c r="B61" s="18" t="s">
        <v>139</v>
      </c>
      <c r="C61" s="28" t="s">
        <v>137</v>
      </c>
      <c r="D61" s="41" t="n">
        <v>70000</v>
      </c>
      <c r="E61" s="41" t="n">
        <v>55000</v>
      </c>
      <c r="F61" s="41" t="n">
        <v>35000</v>
      </c>
      <c r="G61" s="32" t="s">
        <v>140</v>
      </c>
    </row>
  </sheetData>
  <mergeCells count="20">
    <mergeCell ref="B2:G2"/>
    <mergeCell ref="B3:G3"/>
    <mergeCell ref="B6:G6"/>
    <mergeCell ref="B14:G14"/>
    <mergeCell ref="B22:G22"/>
    <mergeCell ref="B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3:G43"/>
    <mergeCell ref="B51:G51"/>
    <mergeCell ref="B55:G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1" min="2" style="1" width="11"/>
  </cols>
  <sheetData>
    <row r="1" customFormat="false" ht="30" hidden="false" customHeight="true" outlineLevel="0" collapsed="false">
      <c r="A1" s="26" t="s">
        <v>141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3" customFormat="false" ht="15" hidden="false" customHeight="true" outlineLevel="0" collapsed="false">
      <c r="A3" s="49" t="s">
        <v>142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</row>
    <row r="4" customFormat="false" ht="30" hidden="false" customHeight="true" outlineLevel="0" collapsed="false">
      <c r="A4" s="50" t="s">
        <v>143</v>
      </c>
      <c r="B4" s="51" t="s">
        <v>144</v>
      </c>
      <c r="C4" s="51" t="s">
        <v>145</v>
      </c>
      <c r="D4" s="51" t="s">
        <v>146</v>
      </c>
      <c r="E4" s="51" t="s">
        <v>147</v>
      </c>
      <c r="F4" s="51" t="s">
        <v>148</v>
      </c>
      <c r="G4" s="51" t="s">
        <v>149</v>
      </c>
      <c r="H4" s="52" t="s">
        <v>150</v>
      </c>
      <c r="I4" s="52" t="s">
        <v>151</v>
      </c>
      <c r="J4" s="52" t="s">
        <v>152</v>
      </c>
      <c r="K4" s="52" t="s">
        <v>153</v>
      </c>
      <c r="L4" s="52" t="s">
        <v>154</v>
      </c>
      <c r="M4" s="52" t="s">
        <v>155</v>
      </c>
      <c r="N4" s="53" t="s">
        <v>156</v>
      </c>
      <c r="O4" s="53" t="s">
        <v>157</v>
      </c>
      <c r="P4" s="53" t="s">
        <v>158</v>
      </c>
      <c r="Q4" s="53" t="s">
        <v>159</v>
      </c>
      <c r="R4" s="53" t="s">
        <v>160</v>
      </c>
      <c r="S4" s="53" t="s">
        <v>161</v>
      </c>
      <c r="T4" s="53" t="s">
        <v>162</v>
      </c>
      <c r="U4" s="53" t="s">
        <v>163</v>
      </c>
      <c r="V4" s="53" t="s">
        <v>164</v>
      </c>
      <c r="W4" s="53" t="s">
        <v>165</v>
      </c>
      <c r="X4" s="53" t="s">
        <v>166</v>
      </c>
      <c r="Y4" s="53" t="s">
        <v>167</v>
      </c>
      <c r="Z4" s="53" t="s">
        <v>168</v>
      </c>
      <c r="AA4" s="53" t="s">
        <v>169</v>
      </c>
      <c r="AB4" s="53" t="s">
        <v>170</v>
      </c>
      <c r="AC4" s="53" t="s">
        <v>171</v>
      </c>
      <c r="AD4" s="40" t="s">
        <v>172</v>
      </c>
    </row>
    <row r="5" customFormat="false" ht="15" hidden="false" customHeight="true" outlineLevel="0" collapsed="false">
      <c r="A5" s="54" t="s">
        <v>173</v>
      </c>
      <c r="B5" s="55" t="s">
        <v>174</v>
      </c>
      <c r="C5" s="55" t="s">
        <v>174</v>
      </c>
      <c r="D5" s="55" t="s">
        <v>174</v>
      </c>
      <c r="E5" s="55" t="s">
        <v>174</v>
      </c>
      <c r="F5" s="55" t="s">
        <v>174</v>
      </c>
      <c r="G5" s="55" t="s">
        <v>174</v>
      </c>
      <c r="H5" s="56" t="s">
        <v>175</v>
      </c>
      <c r="I5" s="56" t="s">
        <v>175</v>
      </c>
      <c r="J5" s="56" t="s">
        <v>175</v>
      </c>
      <c r="K5" s="56" t="s">
        <v>175</v>
      </c>
      <c r="L5" s="56" t="s">
        <v>175</v>
      </c>
      <c r="M5" s="56" t="s">
        <v>175</v>
      </c>
      <c r="N5" s="57" t="s">
        <v>176</v>
      </c>
      <c r="O5" s="57" t="s">
        <v>176</v>
      </c>
      <c r="P5" s="57" t="s">
        <v>176</v>
      </c>
      <c r="Q5" s="57" t="s">
        <v>176</v>
      </c>
      <c r="R5" s="57" t="s">
        <v>176</v>
      </c>
      <c r="S5" s="57" t="s">
        <v>176</v>
      </c>
      <c r="T5" s="57" t="s">
        <v>176</v>
      </c>
      <c r="U5" s="57" t="s">
        <v>176</v>
      </c>
      <c r="V5" s="57" t="s">
        <v>176</v>
      </c>
      <c r="W5" s="57" t="s">
        <v>176</v>
      </c>
      <c r="X5" s="57" t="s">
        <v>176</v>
      </c>
      <c r="Y5" s="57" t="s">
        <v>176</v>
      </c>
      <c r="Z5" s="57" t="s">
        <v>176</v>
      </c>
      <c r="AA5" s="57" t="s">
        <v>176</v>
      </c>
      <c r="AB5" s="57" t="s">
        <v>176</v>
      </c>
      <c r="AC5" s="57" t="s">
        <v>176</v>
      </c>
    </row>
    <row r="7" customFormat="false" ht="15" hidden="false" customHeight="true" outlineLevel="0" collapsed="false">
      <c r="A7" s="58" t="s">
        <v>177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</row>
    <row r="8" customFormat="false" ht="15" hidden="false" customHeight="true" outlineLevel="0" collapsed="false">
      <c r="A8" s="59" t="s">
        <v>178</v>
      </c>
      <c r="B8" s="60" t="n">
        <f aca="false">Premissas!$D$7</f>
        <v>4000</v>
      </c>
      <c r="C8" s="60" t="n">
        <f aca="false">ROUND(B8*(1+Premissas!$D$8),0)</f>
        <v>5600</v>
      </c>
      <c r="D8" s="60" t="n">
        <f aca="false">ROUND(C8*(1+Premissas!$D$8),0)</f>
        <v>7840</v>
      </c>
      <c r="E8" s="60" t="n">
        <f aca="false">ROUND(D8*(1+Premissas!$D$8),0)</f>
        <v>10976</v>
      </c>
      <c r="F8" s="60" t="n">
        <f aca="false">ROUND(E8*(1+Premissas!$D$8),0)</f>
        <v>15366</v>
      </c>
      <c r="G8" s="60" t="n">
        <f aca="false">ROUND(F8*(1+Premissas!$D$8),0)</f>
        <v>21512</v>
      </c>
      <c r="H8" s="60" t="n">
        <f aca="false">ROUND(G8*(1+Premissas!$D$15),0)</f>
        <v>25814</v>
      </c>
      <c r="I8" s="60" t="n">
        <f aca="false">ROUND(H8*(1+Premissas!$D$15),0)</f>
        <v>30977</v>
      </c>
      <c r="J8" s="60" t="n">
        <f aca="false">ROUND(I8*(1+Premissas!$D$15),0)</f>
        <v>37172</v>
      </c>
      <c r="K8" s="60" t="n">
        <f aca="false">ROUND(J8*(1+Premissas!$D$15),0)</f>
        <v>44606</v>
      </c>
      <c r="L8" s="60" t="n">
        <f aca="false">ROUND(K8*(1+Premissas!$D$15),0)</f>
        <v>53527</v>
      </c>
      <c r="M8" s="60" t="n">
        <f aca="false">ROUND(L8*(1+Premissas!$D$15),0)</f>
        <v>64232</v>
      </c>
      <c r="N8" s="60" t="n">
        <f aca="false">ROUND(M8*(1+Premissas!$D$23),0)</f>
        <v>70655</v>
      </c>
      <c r="O8" s="60" t="n">
        <f aca="false">ROUND(N8*(1+Premissas!$D$23),0)</f>
        <v>77721</v>
      </c>
      <c r="P8" s="60" t="n">
        <f aca="false">ROUND(O8*(1+Premissas!$D$23),0)</f>
        <v>85493</v>
      </c>
      <c r="Q8" s="60" t="n">
        <f aca="false">ROUND(P8*(1+Premissas!$D$23),0)</f>
        <v>94042</v>
      </c>
      <c r="R8" s="60" t="n">
        <f aca="false">ROUND(Q8*(1+Premissas!$D$23),0)</f>
        <v>103446</v>
      </c>
      <c r="S8" s="60" t="n">
        <f aca="false">ROUND(R8*(1+Premissas!$D$23),0)</f>
        <v>113791</v>
      </c>
      <c r="T8" s="60" t="n">
        <f aca="false">ROUND(S8*(1+Premissas!$D$23),0)</f>
        <v>125170</v>
      </c>
      <c r="U8" s="60" t="n">
        <f aca="false">ROUND(T8*(1+Premissas!$D$23),0)</f>
        <v>137687</v>
      </c>
      <c r="V8" s="60" t="n">
        <f aca="false">ROUND(U8*(1+Premissas!$D$23),0)</f>
        <v>151456</v>
      </c>
      <c r="W8" s="60" t="n">
        <f aca="false">ROUND(V8*(1+Premissas!$D$23),0)</f>
        <v>166602</v>
      </c>
      <c r="X8" s="60" t="n">
        <f aca="false">ROUND(W8*(1+Premissas!$D$23),0)</f>
        <v>183262</v>
      </c>
      <c r="Y8" s="60" t="n">
        <f aca="false">ROUND(X8*(1+Premissas!$D$23),0)</f>
        <v>201588</v>
      </c>
      <c r="Z8" s="60" t="n">
        <f aca="false">ROUND(Y8*(1+Premissas!$D$23),0)</f>
        <v>221747</v>
      </c>
      <c r="AA8" s="60" t="n">
        <f aca="false">ROUND(Z8*(1+Premissas!$D$23),0)</f>
        <v>243922</v>
      </c>
      <c r="AB8" s="60" t="n">
        <f aca="false">ROUND(AA8*(1+Premissas!$D$23),0)</f>
        <v>268314</v>
      </c>
      <c r="AC8" s="60" t="n">
        <f aca="false">ROUND(AB8*(1+Premissas!$D$23),0)</f>
        <v>295145</v>
      </c>
      <c r="AD8" s="61" t="n">
        <f aca="false">ROUND(AVERAGE(B8:AC8),0)</f>
        <v>102202</v>
      </c>
    </row>
    <row r="9" customFormat="false" ht="15" hidden="false" customHeight="true" outlineLevel="0" collapsed="false">
      <c r="A9" s="59" t="s">
        <v>179</v>
      </c>
      <c r="B9" s="60" t="n">
        <v>0</v>
      </c>
      <c r="C9" s="60" t="n">
        <v>0</v>
      </c>
      <c r="D9" s="60" t="n">
        <v>0</v>
      </c>
      <c r="E9" s="60" t="n">
        <v>0</v>
      </c>
      <c r="F9" s="60" t="n">
        <v>0</v>
      </c>
      <c r="G9" s="60" t="n">
        <v>0</v>
      </c>
      <c r="H9" s="60" t="n">
        <f aca="false">Premissas!$D$16</f>
        <v>40</v>
      </c>
      <c r="I9" s="60" t="n">
        <f aca="false">ROUND(H9*(1+Premissas!$D$17),0)</f>
        <v>50</v>
      </c>
      <c r="J9" s="60" t="n">
        <f aca="false">ROUND(I9*(1+Premissas!$D$17),0)</f>
        <v>63</v>
      </c>
      <c r="K9" s="60" t="n">
        <f aca="false">ROUND(J9*(1+Premissas!$D$17),0)</f>
        <v>79</v>
      </c>
      <c r="L9" s="60" t="n">
        <f aca="false">ROUND(K9*(1+Premissas!$D$17),0)</f>
        <v>99</v>
      </c>
      <c r="M9" s="60" t="n">
        <f aca="false">ROUND(L9*(1+Premissas!$D$17),0)</f>
        <v>124</v>
      </c>
      <c r="N9" s="60" t="n">
        <f aca="false">ROUND(M9*(1+Premissas!$D$17),0)</f>
        <v>155</v>
      </c>
      <c r="O9" s="60" t="n">
        <f aca="false">ROUND(N9*(1+Premissas!$D$17),0)</f>
        <v>194</v>
      </c>
      <c r="P9" s="60" t="n">
        <f aca="false">ROUND(O9*(1+Premissas!$D$17),0)</f>
        <v>243</v>
      </c>
      <c r="Q9" s="60" t="n">
        <f aca="false">ROUND(P9*(1+Premissas!$D$17),0)</f>
        <v>304</v>
      </c>
      <c r="R9" s="60" t="n">
        <f aca="false">ROUND(Q9*(1+Premissas!$D$17),0)</f>
        <v>380</v>
      </c>
      <c r="S9" s="60" t="n">
        <f aca="false">ROUND(R9*(1+Premissas!$D$17),0)</f>
        <v>475</v>
      </c>
      <c r="T9" s="60" t="n">
        <f aca="false">ROUND(S9*(1+Premissas!$D$17),0)</f>
        <v>594</v>
      </c>
      <c r="U9" s="60" t="n">
        <f aca="false">ROUND(T9*(1+Premissas!$D$17),0)</f>
        <v>743</v>
      </c>
      <c r="V9" s="60" t="n">
        <f aca="false">ROUND(U9*(1+Premissas!$D$17),0)</f>
        <v>929</v>
      </c>
      <c r="W9" s="60" t="n">
        <f aca="false">ROUND(V9*(1+Premissas!$D$17),0)</f>
        <v>1161</v>
      </c>
      <c r="X9" s="60" t="n">
        <f aca="false">ROUND(W9*(1+Premissas!$D$17),0)</f>
        <v>1451</v>
      </c>
      <c r="Y9" s="60" t="n">
        <f aca="false">ROUND(X9*(1+Premissas!$D$17),0)</f>
        <v>1814</v>
      </c>
      <c r="Z9" s="60" t="n">
        <f aca="false">ROUND(Y9*(1+Premissas!$D$17),0)</f>
        <v>2268</v>
      </c>
      <c r="AA9" s="60" t="n">
        <f aca="false">ROUND(Z9*(1+Premissas!$D$17),0)</f>
        <v>2835</v>
      </c>
      <c r="AB9" s="60" t="n">
        <f aca="false">ROUND(AA9*(1+Premissas!$D$17),0)</f>
        <v>3544</v>
      </c>
      <c r="AC9" s="60" t="n">
        <f aca="false">ROUND(AB9*(1+Premissas!$D$17),0)</f>
        <v>4430</v>
      </c>
      <c r="AD9" s="61" t="n">
        <f aca="false">ROUND(AVERAGE(N9:AC9),0)</f>
        <v>1345</v>
      </c>
    </row>
    <row r="10" customFormat="false" ht="15" hidden="false" customHeight="true" outlineLevel="0" collapsed="false">
      <c r="A10" s="59" t="s">
        <v>180</v>
      </c>
      <c r="B10" s="60" t="n">
        <v>0</v>
      </c>
      <c r="C10" s="60" t="n">
        <v>0</v>
      </c>
      <c r="D10" s="60" t="n">
        <v>0</v>
      </c>
      <c r="E10" s="60" t="n">
        <v>0</v>
      </c>
      <c r="F10" s="60" t="n">
        <v>0</v>
      </c>
      <c r="G10" s="60" t="n">
        <v>0</v>
      </c>
      <c r="H10" s="60" t="n">
        <v>0</v>
      </c>
      <c r="I10" s="60" t="n">
        <v>0</v>
      </c>
      <c r="J10" s="60" t="n">
        <v>0</v>
      </c>
      <c r="K10" s="60" t="n">
        <v>0</v>
      </c>
      <c r="L10" s="60" t="n">
        <v>0</v>
      </c>
      <c r="M10" s="60" t="n">
        <v>0</v>
      </c>
      <c r="N10" s="60" t="n">
        <f aca="false">Premissas!$D$24</f>
        <v>35</v>
      </c>
      <c r="O10" s="60" t="n">
        <f aca="false">ROUND(N10*(1+Premissas!$D$25)*(1-Premissas!$D$26),0)</f>
        <v>39</v>
      </c>
      <c r="P10" s="60" t="n">
        <f aca="false">ROUND(O10*(1+Premissas!$D$25)*(1-Premissas!$D$26),0)</f>
        <v>44</v>
      </c>
      <c r="Q10" s="60" t="n">
        <f aca="false">ROUND(P10*(1+Premissas!$D$25)*(1-Premissas!$D$26),0)</f>
        <v>49</v>
      </c>
      <c r="R10" s="60" t="n">
        <f aca="false">ROUND(Q10*(1+Premissas!$D$25)*(1-Premissas!$D$26),0)</f>
        <v>55</v>
      </c>
      <c r="S10" s="60" t="n">
        <f aca="false">ROUND(R10*(1+Premissas!$D$25)*(1-Premissas!$D$26),0)</f>
        <v>62</v>
      </c>
      <c r="T10" s="60" t="n">
        <f aca="false">ROUND(S10*(1+Premissas!$D$25)*(1-Premissas!$D$26),0)</f>
        <v>70</v>
      </c>
      <c r="U10" s="60" t="n">
        <f aca="false">ROUND(T10*(1+Premissas!$D$25)*(1-Premissas!$D$26),0)</f>
        <v>78</v>
      </c>
      <c r="V10" s="60" t="n">
        <f aca="false">ROUND(U10*(1+Premissas!$D$25)*(1-Premissas!$D$26),0)</f>
        <v>87</v>
      </c>
      <c r="W10" s="60" t="n">
        <f aca="false">ROUND(V10*(1+Premissas!$D$25)*(1-Premissas!$D$26),0)</f>
        <v>98</v>
      </c>
      <c r="X10" s="60" t="n">
        <f aca="false">ROUND(W10*(1+Premissas!$D$25)*(1-Premissas!$D$26),0)</f>
        <v>110</v>
      </c>
      <c r="Y10" s="60" t="n">
        <f aca="false">ROUND(X10*(1+Premissas!$D$25)*(1-Premissas!$D$26),0)</f>
        <v>123</v>
      </c>
      <c r="Z10" s="60" t="n">
        <f aca="false">ROUND(Y10*(1+Premissas!$D$25)*(1-Premissas!$D$26),0)</f>
        <v>138</v>
      </c>
      <c r="AA10" s="60" t="n">
        <f aca="false">ROUND(Z10*(1+Premissas!$D$25)*(1-Premissas!$D$26),0)</f>
        <v>155</v>
      </c>
      <c r="AB10" s="60" t="n">
        <f aca="false">ROUND(AA10*(1+Premissas!$D$25)*(1-Premissas!$D$26),0)</f>
        <v>174</v>
      </c>
      <c r="AC10" s="60" t="n">
        <f aca="false">ROUND(AB10*(1+Premissas!$D$25)*(1-Premissas!$D$26),0)</f>
        <v>195</v>
      </c>
      <c r="AD10" s="61" t="n">
        <f aca="false">ROUND(AVERAGE(N10:AC10),0)</f>
        <v>95</v>
      </c>
    </row>
    <row r="12" customFormat="false" ht="15" hidden="false" customHeight="true" outlineLevel="0" collapsed="false">
      <c r="A12" s="58" t="s">
        <v>181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</row>
    <row r="13" customFormat="false" ht="15" hidden="false" customHeight="true" outlineLevel="0" collapsed="false">
      <c r="A13" s="62" t="s">
        <v>182</v>
      </c>
      <c r="B13" s="63" t="n">
        <f aca="false">B8*Premissas!$D$9*Premissas!$D$10*Premissas!$D$11*Premissas!$D$12</f>
        <v>540</v>
      </c>
      <c r="C13" s="63" t="n">
        <f aca="false">C8*Premissas!$D$9*Premissas!$D$10*Premissas!$D$11*Premissas!$D$12</f>
        <v>756</v>
      </c>
      <c r="D13" s="63" t="n">
        <f aca="false">D8*Premissas!$D$9*Premissas!$D$10*Premissas!$D$11*Premissas!$D$12</f>
        <v>1058.4</v>
      </c>
      <c r="E13" s="63" t="n">
        <f aca="false">E8*Premissas!$D$9*Premissas!$D$10*Premissas!$D$11*Premissas!$D$12</f>
        <v>1481.76</v>
      </c>
      <c r="F13" s="63" t="n">
        <f aca="false">F8*Premissas!$D$9*Premissas!$D$10*Premissas!$D$11*Premissas!$D$12</f>
        <v>2074.41</v>
      </c>
      <c r="G13" s="63" t="n">
        <f aca="false">G8*Premissas!$D$9*Premissas!$D$10*Premissas!$D$11*Premissas!$D$12</f>
        <v>2904.12</v>
      </c>
      <c r="H13" s="63" t="n">
        <f aca="false">H8*Premissas!$D$9*Premissas!$D$10*Premissas!$D$11*Premissas!$D$12</f>
        <v>3484.89</v>
      </c>
      <c r="I13" s="63" t="n">
        <f aca="false">I8*Premissas!$D$9*Premissas!$D$10*Premissas!$D$11*Premissas!$D$12</f>
        <v>4181.895</v>
      </c>
      <c r="J13" s="63" t="n">
        <f aca="false">J8*Premissas!$D$9*Premissas!$D$10*Premissas!$D$11*Premissas!$D$12</f>
        <v>5018.22</v>
      </c>
      <c r="K13" s="63" t="n">
        <f aca="false">K8*Premissas!$D$9*Premissas!$D$10*Premissas!$D$11*Premissas!$D$12</f>
        <v>6021.81</v>
      </c>
      <c r="L13" s="63" t="n">
        <f aca="false">L8*Premissas!$D$9*Premissas!$D$10*Premissas!$D$11*Premissas!$D$12</f>
        <v>7226.145</v>
      </c>
      <c r="M13" s="63" t="n">
        <f aca="false">M8*Premissas!$D$9*Premissas!$D$10*Premissas!$D$11*Premissas!$D$12</f>
        <v>8671.32</v>
      </c>
      <c r="N13" s="63" t="n">
        <f aca="false">N8*Premissas!$D$9*Premissas!$D$10*Premissas!$D$11*Premissas!$D$12</f>
        <v>9538.425</v>
      </c>
      <c r="O13" s="63" t="n">
        <f aca="false">O8*Premissas!$D$9*Premissas!$D$10*Premissas!$D$11*Premissas!$D$12</f>
        <v>10492.335</v>
      </c>
      <c r="P13" s="63" t="n">
        <f aca="false">P8*Premissas!$D$9*Premissas!$D$10*Premissas!$D$11*Premissas!$D$12</f>
        <v>11541.555</v>
      </c>
      <c r="Q13" s="63" t="n">
        <f aca="false">Q8*Premissas!$D$9*Premissas!$D$10*Premissas!$D$11*Premissas!$D$12</f>
        <v>12695.67</v>
      </c>
      <c r="R13" s="63" t="n">
        <f aca="false">R8*Premissas!$D$9*Premissas!$D$10*Premissas!$D$11*Premissas!$D$12</f>
        <v>13965.21</v>
      </c>
      <c r="S13" s="63" t="n">
        <f aca="false">S8*Premissas!$D$9*Premissas!$D$10*Premissas!$D$11*Premissas!$D$12</f>
        <v>15361.785</v>
      </c>
      <c r="T13" s="63" t="n">
        <f aca="false">T8*Premissas!$D$9*Premissas!$D$10*Premissas!$D$11*Premissas!$D$12</f>
        <v>16897.95</v>
      </c>
      <c r="U13" s="63" t="n">
        <f aca="false">U8*Premissas!$D$9*Premissas!$D$10*Premissas!$D$11*Premissas!$D$12</f>
        <v>18587.745</v>
      </c>
      <c r="V13" s="63" t="n">
        <f aca="false">V8*Premissas!$D$9*Premissas!$D$10*Premissas!$D$11*Premissas!$D$12</f>
        <v>20446.56</v>
      </c>
      <c r="W13" s="63" t="n">
        <f aca="false">W8*Premissas!$D$9*Premissas!$D$10*Premissas!$D$11*Premissas!$D$12</f>
        <v>22491.27</v>
      </c>
      <c r="X13" s="63" t="n">
        <f aca="false">X8*Premissas!$D$9*Premissas!$D$10*Premissas!$D$11*Premissas!$D$12</f>
        <v>24740.37</v>
      </c>
      <c r="Y13" s="63" t="n">
        <f aca="false">Y8*Premissas!$D$9*Premissas!$D$10*Premissas!$D$11*Premissas!$D$12</f>
        <v>27214.38</v>
      </c>
      <c r="Z13" s="63" t="n">
        <f aca="false">Z8*Premissas!$D$9*Premissas!$D$10*Premissas!$D$11*Premissas!$D$12</f>
        <v>29935.845</v>
      </c>
      <c r="AA13" s="63" t="n">
        <f aca="false">AA8*Premissas!$D$9*Premissas!$D$10*Premissas!$D$11*Premissas!$D$12</f>
        <v>32929.47</v>
      </c>
      <c r="AB13" s="63" t="n">
        <f aca="false">AB8*Premissas!$D$9*Premissas!$D$10*Premissas!$D$11*Premissas!$D$12</f>
        <v>36222.39</v>
      </c>
      <c r="AC13" s="63" t="n">
        <f aca="false">AC8*Premissas!$D$9*Premissas!$D$10*Premissas!$D$11*Premissas!$D$12</f>
        <v>39844.575</v>
      </c>
      <c r="AD13" s="64" t="n">
        <f aca="false">SUM(B13:AC13)</f>
        <v>386324.505</v>
      </c>
    </row>
    <row r="14" customFormat="false" ht="15" hidden="false" customHeight="true" outlineLevel="0" collapsed="false">
      <c r="A14" s="65" t="s">
        <v>183</v>
      </c>
      <c r="B14" s="63" t="n">
        <f aca="false">B9*Premissas!$D$18*Premissas!$D$19*Premissas!$D$20</f>
        <v>0</v>
      </c>
      <c r="C14" s="63" t="n">
        <f aca="false">C9*Premissas!$D$18*Premissas!$D$19*Premissas!$D$20</f>
        <v>0</v>
      </c>
      <c r="D14" s="63" t="n">
        <f aca="false">D9*Premissas!$D$18*Premissas!$D$19*Premissas!$D$20</f>
        <v>0</v>
      </c>
      <c r="E14" s="63" t="n">
        <f aca="false">E9*Premissas!$D$18*Premissas!$D$19*Premissas!$D$20</f>
        <v>0</v>
      </c>
      <c r="F14" s="63" t="n">
        <f aca="false">F9*Premissas!$D$18*Premissas!$D$19*Premissas!$D$20</f>
        <v>0</v>
      </c>
      <c r="G14" s="63" t="n">
        <f aca="false">G9*Premissas!$D$18*Premissas!$D$19*Premissas!$D$20</f>
        <v>0</v>
      </c>
      <c r="H14" s="63" t="n">
        <f aca="false">H9*Premissas!$D$18*Premissas!$D$19*Premissas!$D$20</f>
        <v>8160</v>
      </c>
      <c r="I14" s="63" t="n">
        <f aca="false">I9*Premissas!$D$18*Premissas!$D$19*Premissas!$D$20</f>
        <v>10200</v>
      </c>
      <c r="J14" s="63" t="n">
        <f aca="false">J9*Premissas!$D$18*Premissas!$D$19*Premissas!$D$20</f>
        <v>12852</v>
      </c>
      <c r="K14" s="63" t="n">
        <f aca="false">K9*Premissas!$D$18*Premissas!$D$19*Premissas!$D$20</f>
        <v>16116</v>
      </c>
      <c r="L14" s="63" t="n">
        <f aca="false">L9*Premissas!$D$18*Premissas!$D$19*Premissas!$D$20</f>
        <v>20196</v>
      </c>
      <c r="M14" s="63" t="n">
        <f aca="false">M9*Premissas!$D$18*Premissas!$D$19*Premissas!$D$20</f>
        <v>25296</v>
      </c>
      <c r="N14" s="63" t="n">
        <f aca="false">N9*Premissas!$D$18*Premissas!$D$19*Premissas!$D$20</f>
        <v>31620</v>
      </c>
      <c r="O14" s="63" t="n">
        <f aca="false">O9*Premissas!$D$18*Premissas!$D$19*Premissas!$D$20</f>
        <v>39576</v>
      </c>
      <c r="P14" s="63" t="n">
        <f aca="false">P9*Premissas!$D$18*Premissas!$D$19*Premissas!$D$20</f>
        <v>49572</v>
      </c>
      <c r="Q14" s="63" t="n">
        <f aca="false">Q9*Premissas!$D$18*Premissas!$D$19*Premissas!$D$20</f>
        <v>62016</v>
      </c>
      <c r="R14" s="63" t="n">
        <f aca="false">R9*Premissas!$D$18*Premissas!$D$19*Premissas!$D$20</f>
        <v>77520</v>
      </c>
      <c r="S14" s="63" t="n">
        <f aca="false">S9*Premissas!$D$18*Premissas!$D$19*Premissas!$D$20</f>
        <v>96900</v>
      </c>
      <c r="T14" s="63" t="n">
        <f aca="false">T9*Premissas!$D$18*Premissas!$D$19*Premissas!$D$20</f>
        <v>121176</v>
      </c>
      <c r="U14" s="63" t="n">
        <f aca="false">U9*Premissas!$D$18*Premissas!$D$19*Premissas!$D$20</f>
        <v>151572</v>
      </c>
      <c r="V14" s="63" t="n">
        <f aca="false">V9*Premissas!$D$18*Premissas!$D$19*Premissas!$D$20</f>
        <v>189516</v>
      </c>
      <c r="W14" s="63" t="n">
        <f aca="false">W9*Premissas!$D$18*Premissas!$D$19*Premissas!$D$20</f>
        <v>236844</v>
      </c>
      <c r="X14" s="63" t="n">
        <f aca="false">X9*Premissas!$D$18*Premissas!$D$19*Premissas!$D$20</f>
        <v>296004</v>
      </c>
      <c r="Y14" s="63" t="n">
        <f aca="false">Y9*Premissas!$D$18*Premissas!$D$19*Premissas!$D$20</f>
        <v>370056</v>
      </c>
      <c r="Z14" s="63" t="n">
        <f aca="false">Z9*Premissas!$D$18*Premissas!$D$19*Premissas!$D$20</f>
        <v>462672</v>
      </c>
      <c r="AA14" s="63" t="n">
        <f aca="false">AA9*Premissas!$D$18*Premissas!$D$19*Premissas!$D$20</f>
        <v>578340</v>
      </c>
      <c r="AB14" s="63" t="n">
        <f aca="false">AB9*Premissas!$D$18*Premissas!$D$19*Premissas!$D$20</f>
        <v>722976</v>
      </c>
      <c r="AC14" s="63" t="n">
        <f aca="false">AC9*Premissas!$D$18*Premissas!$D$19*Premissas!$D$20</f>
        <v>903720</v>
      </c>
      <c r="AD14" s="64" t="n">
        <f aca="false">SUM(B14:AC14)</f>
        <v>4482900</v>
      </c>
    </row>
    <row r="15" customFormat="false" ht="15" hidden="false" customHeight="true" outlineLevel="0" collapsed="false">
      <c r="A15" s="66" t="s">
        <v>184</v>
      </c>
      <c r="B15" s="63" t="n">
        <f aca="false">B10*Premissas!$D$27</f>
        <v>0</v>
      </c>
      <c r="C15" s="63" t="n">
        <f aca="false">C10*Premissas!$D$27</f>
        <v>0</v>
      </c>
      <c r="D15" s="63" t="n">
        <f aca="false">D10*Premissas!$D$27</f>
        <v>0</v>
      </c>
      <c r="E15" s="63" t="n">
        <f aca="false">E10*Premissas!$D$27</f>
        <v>0</v>
      </c>
      <c r="F15" s="63" t="n">
        <f aca="false">F10*Premissas!$D$27</f>
        <v>0</v>
      </c>
      <c r="G15" s="63" t="n">
        <f aca="false">G10*Premissas!$D$27</f>
        <v>0</v>
      </c>
      <c r="H15" s="63" t="n">
        <f aca="false">H10*Premissas!$D$27</f>
        <v>0</v>
      </c>
      <c r="I15" s="63" t="n">
        <f aca="false">I10*Premissas!$D$27</f>
        <v>0</v>
      </c>
      <c r="J15" s="63" t="n">
        <f aca="false">J10*Premissas!$D$27</f>
        <v>0</v>
      </c>
      <c r="K15" s="63" t="n">
        <f aca="false">K10*Premissas!$D$27</f>
        <v>0</v>
      </c>
      <c r="L15" s="63" t="n">
        <f aca="false">L10*Premissas!$D$27</f>
        <v>0</v>
      </c>
      <c r="M15" s="63" t="n">
        <f aca="false">M10*Premissas!$D$27</f>
        <v>0</v>
      </c>
      <c r="N15" s="63" t="n">
        <f aca="false">N10*Premissas!$D$27</f>
        <v>3150</v>
      </c>
      <c r="O15" s="63" t="n">
        <f aca="false">O10*Premissas!$D$27</f>
        <v>3510</v>
      </c>
      <c r="P15" s="63" t="n">
        <f aca="false">P10*Premissas!$D$27</f>
        <v>3960</v>
      </c>
      <c r="Q15" s="63" t="n">
        <f aca="false">Q10*Premissas!$D$27</f>
        <v>4410</v>
      </c>
      <c r="R15" s="63" t="n">
        <f aca="false">R10*Premissas!$D$27</f>
        <v>4950</v>
      </c>
      <c r="S15" s="63" t="n">
        <f aca="false">S10*Premissas!$D$27</f>
        <v>5580</v>
      </c>
      <c r="T15" s="63" t="n">
        <f aca="false">T10*Premissas!$D$27</f>
        <v>6300</v>
      </c>
      <c r="U15" s="63" t="n">
        <f aca="false">U10*Premissas!$D$27</f>
        <v>7020</v>
      </c>
      <c r="V15" s="63" t="n">
        <f aca="false">V10*Premissas!$D$27</f>
        <v>7830</v>
      </c>
      <c r="W15" s="63" t="n">
        <f aca="false">W10*Premissas!$D$27</f>
        <v>8820</v>
      </c>
      <c r="X15" s="63" t="n">
        <f aca="false">X10*Premissas!$D$27</f>
        <v>9900</v>
      </c>
      <c r="Y15" s="63" t="n">
        <f aca="false">Y10*Premissas!$D$27</f>
        <v>11070</v>
      </c>
      <c r="Z15" s="63" t="n">
        <f aca="false">Z10*Premissas!$D$27</f>
        <v>12420</v>
      </c>
      <c r="AA15" s="63" t="n">
        <f aca="false">AA10*Premissas!$D$27</f>
        <v>13950</v>
      </c>
      <c r="AB15" s="63" t="n">
        <f aca="false">AB10*Premissas!$D$27</f>
        <v>15660</v>
      </c>
      <c r="AC15" s="63" t="n">
        <f aca="false">AC10*Premissas!$D$27</f>
        <v>17550</v>
      </c>
      <c r="AD15" s="64" t="n">
        <f aca="false">SUM(B15:AC15)</f>
        <v>136080</v>
      </c>
    </row>
    <row r="16" customFormat="false" ht="15" hidden="false" customHeight="true" outlineLevel="0" collapsed="false">
      <c r="A16" s="67" t="s">
        <v>185</v>
      </c>
      <c r="B16" s="44" t="n">
        <f aca="false">B13+B14+B15</f>
        <v>540</v>
      </c>
      <c r="C16" s="44" t="n">
        <f aca="false">C13+C14+C15</f>
        <v>756</v>
      </c>
      <c r="D16" s="44" t="n">
        <f aca="false">D13+D14+D15</f>
        <v>1058.4</v>
      </c>
      <c r="E16" s="44" t="n">
        <f aca="false">E13+E14+E15</f>
        <v>1481.76</v>
      </c>
      <c r="F16" s="44" t="n">
        <f aca="false">F13+F14+F15</f>
        <v>2074.41</v>
      </c>
      <c r="G16" s="44" t="n">
        <f aca="false">G13+G14+G15</f>
        <v>2904.12</v>
      </c>
      <c r="H16" s="44" t="n">
        <f aca="false">H13+H14+H15</f>
        <v>11644.89</v>
      </c>
      <c r="I16" s="44" t="n">
        <f aca="false">I13+I14+I15</f>
        <v>14381.895</v>
      </c>
      <c r="J16" s="44" t="n">
        <f aca="false">J13+J14+J15</f>
        <v>17870.22</v>
      </c>
      <c r="K16" s="44" t="n">
        <f aca="false">K13+K14+K15</f>
        <v>22137.81</v>
      </c>
      <c r="L16" s="44" t="n">
        <f aca="false">L13+L14+L15</f>
        <v>27422.145</v>
      </c>
      <c r="M16" s="44" t="n">
        <f aca="false">M13+M14+M15</f>
        <v>33967.32</v>
      </c>
      <c r="N16" s="44" t="n">
        <f aca="false">N13+N14+N15</f>
        <v>44308.425</v>
      </c>
      <c r="O16" s="44" t="n">
        <f aca="false">O13+O14+O15</f>
        <v>53578.335</v>
      </c>
      <c r="P16" s="44" t="n">
        <f aca="false">P13+P14+P15</f>
        <v>65073.555</v>
      </c>
      <c r="Q16" s="44" t="n">
        <f aca="false">Q13+Q14+Q15</f>
        <v>79121.67</v>
      </c>
      <c r="R16" s="44" t="n">
        <f aca="false">R13+R14+R15</f>
        <v>96435.21</v>
      </c>
      <c r="S16" s="44" t="n">
        <f aca="false">S13+S14+S15</f>
        <v>117841.785</v>
      </c>
      <c r="T16" s="44" t="n">
        <f aca="false">T13+T14+T15</f>
        <v>144373.95</v>
      </c>
      <c r="U16" s="44" t="n">
        <f aca="false">U13+U14+U15</f>
        <v>177179.745</v>
      </c>
      <c r="V16" s="44" t="n">
        <f aca="false">V13+V14+V15</f>
        <v>217792.56</v>
      </c>
      <c r="W16" s="44" t="n">
        <f aca="false">W13+W14+W15</f>
        <v>268155.27</v>
      </c>
      <c r="X16" s="44" t="n">
        <f aca="false">X13+X14+X15</f>
        <v>330644.37</v>
      </c>
      <c r="Y16" s="44" t="n">
        <f aca="false">Y13+Y14+Y15</f>
        <v>408340.38</v>
      </c>
      <c r="Z16" s="44" t="n">
        <f aca="false">Z13+Z14+Z15</f>
        <v>505027.845</v>
      </c>
      <c r="AA16" s="44" t="n">
        <f aca="false">AA13+AA14+AA15</f>
        <v>625219.47</v>
      </c>
      <c r="AB16" s="44" t="n">
        <f aca="false">AB13+AB14+AB15</f>
        <v>774858.39</v>
      </c>
      <c r="AC16" s="44" t="n">
        <f aca="false">AC13+AC14+AC15</f>
        <v>961114.575</v>
      </c>
      <c r="AD16" s="44" t="n">
        <f aca="false">SUM(B16:AC16)</f>
        <v>5005304.505</v>
      </c>
    </row>
    <row r="18" customFormat="false" ht="15" hidden="false" customHeight="true" outlineLevel="0" collapsed="false">
      <c r="A18" s="58" t="s">
        <v>186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</row>
    <row r="19" customFormat="false" ht="15" hidden="false" customHeight="true" outlineLevel="0" collapsed="false">
      <c r="A19" s="59" t="s">
        <v>187</v>
      </c>
      <c r="B19" s="68" t="n">
        <f aca="false">-Premissas!$C$41</f>
        <v>-1800</v>
      </c>
      <c r="C19" s="68" t="n">
        <f aca="false">-Premissas!$C$41</f>
        <v>-1800</v>
      </c>
      <c r="D19" s="68" t="n">
        <f aca="false">-Premissas!$C$41</f>
        <v>-1800</v>
      </c>
      <c r="E19" s="68" t="n">
        <f aca="false">-Premissas!$C$41</f>
        <v>-1800</v>
      </c>
      <c r="F19" s="68" t="n">
        <f aca="false">-Premissas!$C$41</f>
        <v>-1800</v>
      </c>
      <c r="G19" s="68" t="n">
        <f aca="false">-Premissas!$C$41</f>
        <v>-1800</v>
      </c>
      <c r="H19" s="68" t="n">
        <f aca="false">-Premissas!$D$41</f>
        <v>-14000</v>
      </c>
      <c r="I19" s="68" t="n">
        <f aca="false">-Premissas!$D$41</f>
        <v>-14000</v>
      </c>
      <c r="J19" s="68" t="n">
        <f aca="false">-Premissas!$D$41</f>
        <v>-14000</v>
      </c>
      <c r="K19" s="68" t="n">
        <f aca="false">-Premissas!$D$41</f>
        <v>-14000</v>
      </c>
      <c r="L19" s="68" t="n">
        <f aca="false">-Premissas!$D$41</f>
        <v>-14000</v>
      </c>
      <c r="M19" s="68" t="n">
        <f aca="false">-Premissas!$D$41</f>
        <v>-14000</v>
      </c>
      <c r="N19" s="68" t="n">
        <f aca="false">-Premissas!$E$41</f>
        <v>-35500</v>
      </c>
      <c r="O19" s="68" t="n">
        <f aca="false">-Premissas!$E$41</f>
        <v>-35500</v>
      </c>
      <c r="P19" s="68" t="n">
        <f aca="false">-Premissas!$E$41</f>
        <v>-35500</v>
      </c>
      <c r="Q19" s="68" t="n">
        <f aca="false">-Premissas!$E$41</f>
        <v>-35500</v>
      </c>
      <c r="R19" s="68" t="n">
        <f aca="false">-Premissas!$E$41</f>
        <v>-35500</v>
      </c>
      <c r="S19" s="68" t="n">
        <f aca="false">-Premissas!$E$41</f>
        <v>-35500</v>
      </c>
      <c r="T19" s="68" t="n">
        <f aca="false">-Premissas!$E$41</f>
        <v>-35500</v>
      </c>
      <c r="U19" s="68" t="n">
        <f aca="false">-Premissas!$E$41</f>
        <v>-35500</v>
      </c>
      <c r="V19" s="68" t="n">
        <f aca="false">-Premissas!$E$41</f>
        <v>-35500</v>
      </c>
      <c r="W19" s="68" t="n">
        <f aca="false">-Premissas!$E$41</f>
        <v>-35500</v>
      </c>
      <c r="X19" s="68" t="n">
        <f aca="false">-Premissas!$E$41</f>
        <v>-35500</v>
      </c>
      <c r="Y19" s="68" t="n">
        <f aca="false">-Premissas!$E$41</f>
        <v>-35500</v>
      </c>
      <c r="Z19" s="68" t="n">
        <f aca="false">-Premissas!$E$41</f>
        <v>-35500</v>
      </c>
      <c r="AA19" s="68" t="n">
        <f aca="false">-Premissas!$E$41</f>
        <v>-35500</v>
      </c>
      <c r="AB19" s="68" t="n">
        <f aca="false">-Premissas!$E$41</f>
        <v>-35500</v>
      </c>
      <c r="AC19" s="68" t="n">
        <f aca="false">-Premissas!$E$41</f>
        <v>-35500</v>
      </c>
      <c r="AD19" s="64" t="n">
        <f aca="false">SUM(B19:AC19)</f>
        <v>-662800</v>
      </c>
    </row>
    <row r="20" customFormat="false" ht="15" hidden="false" customHeight="true" outlineLevel="0" collapsed="false">
      <c r="A20" s="59" t="s">
        <v>188</v>
      </c>
      <c r="B20" s="63" t="n">
        <f aca="false">-B16*(Premissas!$C$44+Premissas!$C$45+Premissas!$C$46)</f>
        <v>-35.91</v>
      </c>
      <c r="C20" s="63" t="n">
        <f aca="false">-C16*(Premissas!$C$44+Premissas!$C$45+Premissas!$C$46)</f>
        <v>-50.274</v>
      </c>
      <c r="D20" s="63" t="n">
        <f aca="false">-D16*(Premissas!$C$44+Premissas!$C$45+Premissas!$C$46)</f>
        <v>-70.3836</v>
      </c>
      <c r="E20" s="63" t="n">
        <f aca="false">-E16*(Premissas!$C$44+Premissas!$C$45+Premissas!$C$46)</f>
        <v>-98.53704</v>
      </c>
      <c r="F20" s="63" t="n">
        <f aca="false">-F16*(Premissas!$C$44+Premissas!$C$45+Premissas!$C$46)</f>
        <v>-137.948265</v>
      </c>
      <c r="G20" s="63" t="n">
        <f aca="false">-G16*(Premissas!$C$44+Premissas!$C$45+Premissas!$C$46)</f>
        <v>-193.12398</v>
      </c>
      <c r="H20" s="63" t="n">
        <f aca="false">-H16*(Premissas!$C$44+Premissas!$C$45+Premissas!$C$46)</f>
        <v>-774.385185</v>
      </c>
      <c r="I20" s="63" t="n">
        <f aca="false">-I16*(Premissas!$C$44+Premissas!$C$45+Premissas!$C$46)</f>
        <v>-956.3960175</v>
      </c>
      <c r="J20" s="63" t="n">
        <f aca="false">-J16*(Premissas!$C$44+Premissas!$C$45+Premissas!$C$46)</f>
        <v>-1188.36963</v>
      </c>
      <c r="K20" s="63" t="n">
        <f aca="false">-K16*(Premissas!$C$44+Premissas!$C$45+Premissas!$C$46)</f>
        <v>-1472.164365</v>
      </c>
      <c r="L20" s="63" t="n">
        <f aca="false">-L16*(Premissas!$C$44+Premissas!$C$45+Premissas!$C$46)</f>
        <v>-1823.5726425</v>
      </c>
      <c r="M20" s="63" t="n">
        <f aca="false">-M16*(Premissas!$C$44+Premissas!$C$45+Premissas!$C$46)</f>
        <v>-2258.82678</v>
      </c>
      <c r="N20" s="63" t="n">
        <f aca="false">-N16*(Premissas!$C$44+Premissas!$C$45+Premissas!$C$46)</f>
        <v>-2946.5102625</v>
      </c>
      <c r="O20" s="63" t="n">
        <f aca="false">-O16*(Premissas!$C$44+Premissas!$C$45+Premissas!$C$46)</f>
        <v>-3562.9592775</v>
      </c>
      <c r="P20" s="63" t="n">
        <f aca="false">-P16*(Premissas!$C$44+Premissas!$C$45+Premissas!$C$46)</f>
        <v>-4327.3914075</v>
      </c>
      <c r="Q20" s="63" t="n">
        <f aca="false">-Q16*(Premissas!$C$44+Premissas!$C$45+Premissas!$C$46)</f>
        <v>-5261.591055</v>
      </c>
      <c r="R20" s="63" t="n">
        <f aca="false">-R16*(Premissas!$C$44+Premissas!$C$45+Premissas!$C$46)</f>
        <v>-6412.941465</v>
      </c>
      <c r="S20" s="63" t="n">
        <f aca="false">-S16*(Premissas!$C$44+Premissas!$C$45+Premissas!$C$46)</f>
        <v>-7836.4787025</v>
      </c>
      <c r="T20" s="63" t="n">
        <f aca="false">-T16*(Premissas!$C$44+Premissas!$C$45+Premissas!$C$46)</f>
        <v>-9600.867675</v>
      </c>
      <c r="U20" s="63" t="n">
        <f aca="false">-U16*(Premissas!$C$44+Premissas!$C$45+Premissas!$C$46)</f>
        <v>-11782.4530425</v>
      </c>
      <c r="V20" s="63" t="n">
        <f aca="false">-V16*(Premissas!$C$44+Premissas!$C$45+Premissas!$C$46)</f>
        <v>-14483.20524</v>
      </c>
      <c r="W20" s="63" t="n">
        <f aca="false">-W16*(Premissas!$C$44+Premissas!$C$45+Premissas!$C$46)</f>
        <v>-17832.325455</v>
      </c>
      <c r="X20" s="63" t="n">
        <f aca="false">-X16*(Premissas!$C$44+Premissas!$C$45+Premissas!$C$46)</f>
        <v>-21987.850605</v>
      </c>
      <c r="Y20" s="63" t="n">
        <f aca="false">-Y16*(Premissas!$C$44+Premissas!$C$45+Premissas!$C$46)</f>
        <v>-27154.63527</v>
      </c>
      <c r="Z20" s="63" t="n">
        <f aca="false">-Z16*(Premissas!$C$44+Premissas!$C$45+Premissas!$C$46)</f>
        <v>-33584.3516925</v>
      </c>
      <c r="AA20" s="63" t="n">
        <f aca="false">-AA16*(Premissas!$C$44+Premissas!$C$45+Premissas!$C$46)</f>
        <v>-41577.094755</v>
      </c>
      <c r="AB20" s="63" t="n">
        <f aca="false">-AB16*(Premissas!$C$44+Premissas!$C$45+Premissas!$C$46)</f>
        <v>-51528.082935</v>
      </c>
      <c r="AC20" s="63" t="n">
        <f aca="false">-AC16*(Premissas!$C$44+Premissas!$C$45+Premissas!$C$46)</f>
        <v>-63914.1192375</v>
      </c>
      <c r="AD20" s="64" t="n">
        <f aca="false">SUM(B20:AC20)</f>
        <v>-332852.7495825</v>
      </c>
    </row>
    <row r="21" customFormat="false" ht="15" hidden="false" customHeight="true" outlineLevel="0" collapsed="false">
      <c r="A21" s="59" t="s">
        <v>189</v>
      </c>
      <c r="B21" s="63" t="n">
        <f aca="false">IF((B16+B20+B19)&gt;0,-B16*(Premissas!$C$47+Premissas!$C$48),0)</f>
        <v>0</v>
      </c>
      <c r="C21" s="63" t="n">
        <f aca="false">IF((C16+C20+C19)&gt;0,-C16*(Premissas!$C$47+Premissas!$C$48),0)</f>
        <v>0</v>
      </c>
      <c r="D21" s="63" t="n">
        <f aca="false">IF((D16+D20+D19)&gt;0,-D16*(Premissas!$C$47+Premissas!$C$48),0)</f>
        <v>0</v>
      </c>
      <c r="E21" s="63" t="n">
        <f aca="false">IF((E16+E20+E19)&gt;0,-E16*(Premissas!$C$47+Premissas!$C$48),0)</f>
        <v>0</v>
      </c>
      <c r="F21" s="63" t="n">
        <f aca="false">IF((F16+F20+F19)&gt;0,-F16*(Premissas!$C$47+Premissas!$C$48),0)</f>
        <v>-159.314688</v>
      </c>
      <c r="G21" s="63" t="n">
        <f aca="false">IF((G16+G20+G19)&gt;0,-G16*(Premissas!$C$47+Premissas!$C$48),0)</f>
        <v>-223.036416</v>
      </c>
      <c r="H21" s="63" t="n">
        <f aca="false">IF((H16+H20+H19)&gt;0,-H16*(Premissas!$C$47+Premissas!$C$48),0)</f>
        <v>0</v>
      </c>
      <c r="I21" s="63" t="n">
        <f aca="false">IF((I16+I20+I19)&gt;0,-I16*(Premissas!$C$47+Premissas!$C$48),0)</f>
        <v>0</v>
      </c>
      <c r="J21" s="63" t="n">
        <f aca="false">IF((J16+J20+J19)&gt;0,-J16*(Premissas!$C$47+Premissas!$C$48),0)</f>
        <v>-1372.432896</v>
      </c>
      <c r="K21" s="63" t="n">
        <f aca="false">IF((K16+K20+K19)&gt;0,-K16*(Premissas!$C$47+Premissas!$C$48),0)</f>
        <v>-1700.183808</v>
      </c>
      <c r="L21" s="63" t="n">
        <f aca="false">IF((L16+L20+L19)&gt;0,-L16*(Premissas!$C$47+Premissas!$C$48),0)</f>
        <v>-2106.020736</v>
      </c>
      <c r="M21" s="63" t="n">
        <f aca="false">IF((M16+M20+M19)&gt;0,-M16*(Premissas!$C$47+Premissas!$C$48),0)</f>
        <v>-2608.690176</v>
      </c>
      <c r="N21" s="63" t="n">
        <f aca="false">IF((N16+N20+N19)&gt;0,-N16*(Premissas!$C$47+Premissas!$C$48),0)</f>
        <v>-3402.88704</v>
      </c>
      <c r="O21" s="63" t="n">
        <f aca="false">IF((O16+O20+O19)&gt;0,-O16*(Premissas!$C$47+Premissas!$C$48),0)</f>
        <v>-4114.816128</v>
      </c>
      <c r="P21" s="63" t="n">
        <f aca="false">IF((P16+P20+P19)&gt;0,-P16*(Premissas!$C$47+Premissas!$C$48),0)</f>
        <v>-4997.649024</v>
      </c>
      <c r="Q21" s="63" t="n">
        <f aca="false">IF((Q16+Q20+Q19)&gt;0,-Q16*(Premissas!$C$47+Premissas!$C$48),0)</f>
        <v>-6076.544256</v>
      </c>
      <c r="R21" s="63" t="n">
        <f aca="false">IF((R16+R20+R19)&gt;0,-R16*(Premissas!$C$47+Premissas!$C$48),0)</f>
        <v>-7406.224128</v>
      </c>
      <c r="S21" s="63" t="n">
        <f aca="false">IF((S16+S20+S19)&gt;0,-S16*(Premissas!$C$47+Premissas!$C$48),0)</f>
        <v>-9050.249088</v>
      </c>
      <c r="T21" s="63" t="n">
        <f aca="false">IF((T16+T20+T19)&gt;0,-T16*(Premissas!$C$47+Premissas!$C$48),0)</f>
        <v>-11087.91936</v>
      </c>
      <c r="U21" s="63" t="n">
        <f aca="false">IF((U16+U20+U19)&gt;0,-U16*(Premissas!$C$47+Premissas!$C$48),0)</f>
        <v>-13607.404416</v>
      </c>
      <c r="V21" s="63" t="n">
        <f aca="false">IF((V16+V20+V19)&gt;0,-V16*(Premissas!$C$47+Premissas!$C$48),0)</f>
        <v>-16726.468608</v>
      </c>
      <c r="W21" s="63" t="n">
        <f aca="false">IF((W16+W20+W19)&gt;0,-W16*(Premissas!$C$47+Premissas!$C$48),0)</f>
        <v>-20594.324736</v>
      </c>
      <c r="X21" s="63" t="n">
        <f aca="false">IF((X16+X20+X19)&gt;0,-X16*(Premissas!$C$47+Premissas!$C$48),0)</f>
        <v>-25393.487616</v>
      </c>
      <c r="Y21" s="63" t="n">
        <f aca="false">IF((Y16+Y20+Y19)&gt;0,-Y16*(Premissas!$C$47+Premissas!$C$48),0)</f>
        <v>-31360.541184</v>
      </c>
      <c r="Z21" s="63" t="n">
        <f aca="false">IF((Z16+Z20+Z19)&gt;0,-Z16*(Premissas!$C$47+Premissas!$C$48),0)</f>
        <v>-38786.138496</v>
      </c>
      <c r="AA21" s="63" t="n">
        <f aca="false">IF((AA16+AA20+AA19)&gt;0,-AA16*(Premissas!$C$47+Premissas!$C$48),0)</f>
        <v>-48016.855296</v>
      </c>
      <c r="AB21" s="63" t="n">
        <f aca="false">IF((AB16+AB20+AB19)&gt;0,-AB16*(Premissas!$C$47+Premissas!$C$48),0)</f>
        <v>-59509.124352</v>
      </c>
      <c r="AC21" s="63" t="n">
        <f aca="false">IF((AC16+AC20+AC19)&gt;0,-AC16*(Premissas!$C$47+Premissas!$C$48),0)</f>
        <v>-73813.59936</v>
      </c>
      <c r="AD21" s="64" t="n">
        <f aca="false">SUM(B21:AC21)</f>
        <v>-382113.911808</v>
      </c>
    </row>
    <row r="23" customFormat="false" ht="15" hidden="false" customHeight="true" outlineLevel="0" collapsed="false">
      <c r="A23" s="67" t="s">
        <v>190</v>
      </c>
      <c r="B23" s="44" t="n">
        <f aca="false">B16+B19+B20+B21</f>
        <v>-1295.91</v>
      </c>
      <c r="C23" s="44" t="n">
        <f aca="false">C16+C19+C20+C21</f>
        <v>-1094.274</v>
      </c>
      <c r="D23" s="44" t="n">
        <f aca="false">D16+D19+D20+D21</f>
        <v>-811.9836</v>
      </c>
      <c r="E23" s="44" t="n">
        <f aca="false">E16+E19+E20+E21</f>
        <v>-416.77704</v>
      </c>
      <c r="F23" s="44" t="n">
        <f aca="false">F16+F19+F20+F21</f>
        <v>-22.8529530000001</v>
      </c>
      <c r="G23" s="44" t="n">
        <f aca="false">G16+G19+G20+G21</f>
        <v>687.959604</v>
      </c>
      <c r="H23" s="44" t="n">
        <f aca="false">H16+H19+H20+H21</f>
        <v>-3129.495185</v>
      </c>
      <c r="I23" s="44" t="n">
        <f aca="false">I16+I19+I20+I21</f>
        <v>-574.5010175</v>
      </c>
      <c r="J23" s="44" t="n">
        <f aca="false">J16+J19+J20+J21</f>
        <v>1309.417474</v>
      </c>
      <c r="K23" s="44" t="n">
        <f aca="false">K16+K19+K20+K21</f>
        <v>4965.461827</v>
      </c>
      <c r="L23" s="44" t="n">
        <f aca="false">L16+L19+L20+L21</f>
        <v>9492.5516215</v>
      </c>
      <c r="M23" s="44" t="n">
        <f aca="false">M16+M19+M20+M21</f>
        <v>15099.803044</v>
      </c>
      <c r="N23" s="44" t="n">
        <f aca="false">N16+N19+N20+N21</f>
        <v>2459.0276975</v>
      </c>
      <c r="O23" s="44" t="n">
        <f aca="false">O16+O19+O20+O21</f>
        <v>10400.5595945</v>
      </c>
      <c r="P23" s="44" t="n">
        <f aca="false">P16+P19+P20+P21</f>
        <v>20248.5145685</v>
      </c>
      <c r="Q23" s="44" t="n">
        <f aca="false">Q16+Q19+Q20+Q21</f>
        <v>32283.534689</v>
      </c>
      <c r="R23" s="44" t="n">
        <f aca="false">R16+R19+R20+R21</f>
        <v>47116.044407</v>
      </c>
      <c r="S23" s="44" t="n">
        <f aca="false">S16+S19+S20+S21</f>
        <v>65455.0572095</v>
      </c>
      <c r="T23" s="44" t="n">
        <f aca="false">T16+T19+T20+T21</f>
        <v>88185.162965</v>
      </c>
      <c r="U23" s="44" t="n">
        <f aca="false">U16+U19+U20+U21</f>
        <v>116289.8875415</v>
      </c>
      <c r="V23" s="44" t="n">
        <f aca="false">V16+V19+V20+V21</f>
        <v>151082.886152</v>
      </c>
      <c r="W23" s="44" t="n">
        <f aca="false">W16+W19+W20+W21</f>
        <v>194228.619809</v>
      </c>
      <c r="X23" s="44" t="n">
        <f aca="false">X16+X19+X20+X21</f>
        <v>247763.031779</v>
      </c>
      <c r="Y23" s="44" t="n">
        <f aca="false">Y16+Y19+Y20+Y21</f>
        <v>314325.203546</v>
      </c>
      <c r="Z23" s="44" t="n">
        <f aca="false">Z16+Z19+Z20+Z21</f>
        <v>397157.3548115</v>
      </c>
      <c r="AA23" s="44" t="n">
        <f aca="false">AA16+AA19+AA20+AA21</f>
        <v>500125.519949</v>
      </c>
      <c r="AB23" s="44" t="n">
        <f aca="false">AB16+AB19+AB20+AB21</f>
        <v>628321.182713</v>
      </c>
      <c r="AC23" s="44" t="n">
        <f aca="false">AC16+AC19+AC20+AC21</f>
        <v>787886.8564025</v>
      </c>
      <c r="AD23" s="44" t="n">
        <f aca="false">SUM(B23:AC23)</f>
        <v>3627537.8436095</v>
      </c>
    </row>
    <row r="24" customFormat="false" ht="15" hidden="false" customHeight="true" outlineLevel="0" collapsed="false">
      <c r="A24" s="69" t="s">
        <v>191</v>
      </c>
      <c r="B24" s="64" t="n">
        <f aca="false">B23</f>
        <v>-1295.91</v>
      </c>
      <c r="C24" s="64" t="n">
        <f aca="false">B24+C23</f>
        <v>-2390.184</v>
      </c>
      <c r="D24" s="64" t="n">
        <f aca="false">C24+D23</f>
        <v>-3202.1676</v>
      </c>
      <c r="E24" s="64" t="n">
        <f aca="false">D24+E23</f>
        <v>-3618.94464</v>
      </c>
      <c r="F24" s="64" t="n">
        <f aca="false">E24+F23</f>
        <v>-3641.797593</v>
      </c>
      <c r="G24" s="64" t="n">
        <f aca="false">F24+G23</f>
        <v>-2953.837989</v>
      </c>
      <c r="H24" s="64" t="n">
        <f aca="false">G24+H23</f>
        <v>-6083.333174</v>
      </c>
      <c r="I24" s="64" t="n">
        <f aca="false">H24+I23</f>
        <v>-6657.8341915</v>
      </c>
      <c r="J24" s="64" t="n">
        <f aca="false">I24+J23</f>
        <v>-5348.4167175</v>
      </c>
      <c r="K24" s="64" t="n">
        <f aca="false">J24+K23</f>
        <v>-382.954890499999</v>
      </c>
      <c r="L24" s="64" t="n">
        <f aca="false">K24+L23</f>
        <v>9109.596731</v>
      </c>
      <c r="M24" s="64" t="n">
        <f aca="false">L24+M23</f>
        <v>24209.399775</v>
      </c>
      <c r="N24" s="64" t="n">
        <f aca="false">M24+N23</f>
        <v>26668.4274725</v>
      </c>
      <c r="O24" s="64" t="n">
        <f aca="false">N24+O23</f>
        <v>37068.987067</v>
      </c>
      <c r="P24" s="64" t="n">
        <f aca="false">O24+P23</f>
        <v>57317.5016355</v>
      </c>
      <c r="Q24" s="64" t="n">
        <f aca="false">P24+Q23</f>
        <v>89601.0363245</v>
      </c>
      <c r="R24" s="64" t="n">
        <f aca="false">Q24+R23</f>
        <v>136717.0807315</v>
      </c>
      <c r="S24" s="64" t="n">
        <f aca="false">R24+S23</f>
        <v>202172.137941</v>
      </c>
      <c r="T24" s="64" t="n">
        <f aca="false">S24+T23</f>
        <v>290357.300906</v>
      </c>
      <c r="U24" s="64" t="n">
        <f aca="false">T24+U23</f>
        <v>406647.1884475</v>
      </c>
      <c r="V24" s="64" t="n">
        <f aca="false">U24+V23</f>
        <v>557730.0745995</v>
      </c>
      <c r="W24" s="64" t="n">
        <f aca="false">V24+W23</f>
        <v>751958.6944085</v>
      </c>
      <c r="X24" s="64" t="n">
        <f aca="false">W24+X23</f>
        <v>999721.7261875</v>
      </c>
      <c r="Y24" s="64" t="n">
        <f aca="false">X24+Y23</f>
        <v>1314046.9297335</v>
      </c>
      <c r="Z24" s="64" t="n">
        <f aca="false">Y24+Z23</f>
        <v>1711204.284545</v>
      </c>
      <c r="AA24" s="64" t="n">
        <f aca="false">Z24+AA23</f>
        <v>2211329.804494</v>
      </c>
      <c r="AB24" s="64" t="n">
        <f aca="false">AA24+AB23</f>
        <v>2839650.987207</v>
      </c>
      <c r="AC24" s="64" t="n">
        <f aca="false">AB24+AC23</f>
        <v>3627537.8436095</v>
      </c>
    </row>
    <row r="27" customFormat="false" ht="15" hidden="false" customHeight="true" outlineLevel="0" collapsed="false">
      <c r="A27" s="70" t="s">
        <v>192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</row>
    <row r="28" customFormat="false" ht="30" hidden="false" customHeight="true" outlineLevel="0" collapsed="false">
      <c r="A28" s="50" t="s">
        <v>143</v>
      </c>
      <c r="B28" s="51" t="s">
        <v>144</v>
      </c>
      <c r="C28" s="51" t="s">
        <v>145</v>
      </c>
      <c r="D28" s="51" t="s">
        <v>146</v>
      </c>
      <c r="E28" s="51" t="s">
        <v>147</v>
      </c>
      <c r="F28" s="51" t="s">
        <v>148</v>
      </c>
      <c r="G28" s="51" t="s">
        <v>149</v>
      </c>
      <c r="H28" s="52" t="s">
        <v>150</v>
      </c>
      <c r="I28" s="52" t="s">
        <v>151</v>
      </c>
      <c r="J28" s="52" t="s">
        <v>152</v>
      </c>
      <c r="K28" s="52" t="s">
        <v>153</v>
      </c>
      <c r="L28" s="52" t="s">
        <v>154</v>
      </c>
      <c r="M28" s="52" t="s">
        <v>155</v>
      </c>
      <c r="N28" s="53" t="s">
        <v>156</v>
      </c>
      <c r="O28" s="53" t="s">
        <v>157</v>
      </c>
      <c r="P28" s="53" t="s">
        <v>158</v>
      </c>
      <c r="Q28" s="53" t="s">
        <v>159</v>
      </c>
      <c r="R28" s="53" t="s">
        <v>160</v>
      </c>
      <c r="S28" s="53" t="s">
        <v>161</v>
      </c>
      <c r="T28" s="53" t="s">
        <v>162</v>
      </c>
      <c r="U28" s="53" t="s">
        <v>163</v>
      </c>
      <c r="V28" s="53" t="s">
        <v>164</v>
      </c>
      <c r="W28" s="53" t="s">
        <v>165</v>
      </c>
      <c r="X28" s="53" t="s">
        <v>166</v>
      </c>
      <c r="Y28" s="53" t="s">
        <v>167</v>
      </c>
      <c r="Z28" s="53" t="s">
        <v>168</v>
      </c>
      <c r="AA28" s="53" t="s">
        <v>169</v>
      </c>
      <c r="AB28" s="53" t="s">
        <v>170</v>
      </c>
      <c r="AC28" s="53" t="s">
        <v>171</v>
      </c>
      <c r="AD28" s="40" t="s">
        <v>172</v>
      </c>
    </row>
    <row r="29" customFormat="false" ht="15" hidden="false" customHeight="true" outlineLevel="0" collapsed="false">
      <c r="A29" s="54" t="s">
        <v>173</v>
      </c>
      <c r="B29" s="55" t="s">
        <v>174</v>
      </c>
      <c r="C29" s="55" t="s">
        <v>174</v>
      </c>
      <c r="D29" s="55" t="s">
        <v>174</v>
      </c>
      <c r="E29" s="55" t="s">
        <v>174</v>
      </c>
      <c r="F29" s="55" t="s">
        <v>174</v>
      </c>
      <c r="G29" s="55" t="s">
        <v>174</v>
      </c>
      <c r="H29" s="56" t="s">
        <v>175</v>
      </c>
      <c r="I29" s="56" t="s">
        <v>175</v>
      </c>
      <c r="J29" s="56" t="s">
        <v>175</v>
      </c>
      <c r="K29" s="56" t="s">
        <v>175</v>
      </c>
      <c r="L29" s="56" t="s">
        <v>175</v>
      </c>
      <c r="M29" s="56" t="s">
        <v>175</v>
      </c>
      <c r="N29" s="57" t="s">
        <v>176</v>
      </c>
      <c r="O29" s="57" t="s">
        <v>176</v>
      </c>
      <c r="P29" s="57" t="s">
        <v>176</v>
      </c>
      <c r="Q29" s="57" t="s">
        <v>176</v>
      </c>
      <c r="R29" s="57" t="s">
        <v>176</v>
      </c>
      <c r="S29" s="57" t="s">
        <v>176</v>
      </c>
      <c r="T29" s="57" t="s">
        <v>176</v>
      </c>
      <c r="U29" s="57" t="s">
        <v>176</v>
      </c>
      <c r="V29" s="57" t="s">
        <v>176</v>
      </c>
      <c r="W29" s="57" t="s">
        <v>176</v>
      </c>
      <c r="X29" s="57" t="s">
        <v>176</v>
      </c>
      <c r="Y29" s="57" t="s">
        <v>176</v>
      </c>
      <c r="Z29" s="57" t="s">
        <v>176</v>
      </c>
      <c r="AA29" s="57" t="s">
        <v>176</v>
      </c>
      <c r="AB29" s="57" t="s">
        <v>176</v>
      </c>
      <c r="AC29" s="57" t="s">
        <v>176</v>
      </c>
    </row>
    <row r="31" customFormat="false" ht="15" hidden="false" customHeight="true" outlineLevel="0" collapsed="false">
      <c r="A31" s="58" t="s">
        <v>177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</row>
    <row r="32" customFormat="false" ht="15" hidden="false" customHeight="true" outlineLevel="0" collapsed="false">
      <c r="A32" s="59" t="s">
        <v>178</v>
      </c>
      <c r="B32" s="60" t="n">
        <f aca="false">Premissas!$E$7</f>
        <v>2500</v>
      </c>
      <c r="C32" s="60" t="n">
        <f aca="false">ROUND(B32*(1+Premissas!$E$8),0)</f>
        <v>3125</v>
      </c>
      <c r="D32" s="60" t="n">
        <f aca="false">ROUND(C32*(1+Premissas!$E$8),0)</f>
        <v>3906</v>
      </c>
      <c r="E32" s="60" t="n">
        <f aca="false">ROUND(D32*(1+Premissas!$E$8),0)</f>
        <v>4883</v>
      </c>
      <c r="F32" s="60" t="n">
        <f aca="false">ROUND(E32*(1+Premissas!$E$8),0)</f>
        <v>6104</v>
      </c>
      <c r="G32" s="60" t="n">
        <f aca="false">ROUND(F32*(1+Premissas!$E$8),0)</f>
        <v>7630</v>
      </c>
      <c r="H32" s="60" t="n">
        <f aca="false">ROUND(G32*(1+Premissas!$E$15),0)</f>
        <v>8546</v>
      </c>
      <c r="I32" s="60" t="n">
        <f aca="false">ROUND(H32*(1+Premissas!$E$15),0)</f>
        <v>9572</v>
      </c>
      <c r="J32" s="60" t="n">
        <f aca="false">ROUND(I32*(1+Premissas!$E$15),0)</f>
        <v>10721</v>
      </c>
      <c r="K32" s="60" t="n">
        <f aca="false">ROUND(J32*(1+Premissas!$E$15),0)</f>
        <v>12008</v>
      </c>
      <c r="L32" s="60" t="n">
        <f aca="false">ROUND(K32*(1+Premissas!$E$15),0)</f>
        <v>13449</v>
      </c>
      <c r="M32" s="60" t="n">
        <f aca="false">ROUND(L32*(1+Premissas!$E$15),0)</f>
        <v>15063</v>
      </c>
      <c r="N32" s="60" t="n">
        <f aca="false">ROUND(M32*(1+Premissas!$E$23),0)</f>
        <v>15967</v>
      </c>
      <c r="O32" s="60" t="n">
        <f aca="false">ROUND(N32*(1+Premissas!$E$23),0)</f>
        <v>16925</v>
      </c>
      <c r="P32" s="60" t="n">
        <f aca="false">ROUND(O32*(1+Premissas!$E$23),0)</f>
        <v>17941</v>
      </c>
      <c r="Q32" s="60" t="n">
        <f aca="false">ROUND(P32*(1+Premissas!$E$23),0)</f>
        <v>19017</v>
      </c>
      <c r="R32" s="60" t="n">
        <f aca="false">ROUND(Q32*(1+Premissas!$E$23),0)</f>
        <v>20158</v>
      </c>
      <c r="S32" s="60" t="n">
        <f aca="false">ROUND(R32*(1+Premissas!$E$23),0)</f>
        <v>21367</v>
      </c>
      <c r="T32" s="60" t="n">
        <f aca="false">ROUND(S32*(1+Premissas!$E$23),0)</f>
        <v>22649</v>
      </c>
      <c r="U32" s="60" t="n">
        <f aca="false">ROUND(T32*(1+Premissas!$E$23),0)</f>
        <v>24008</v>
      </c>
      <c r="V32" s="60" t="n">
        <f aca="false">ROUND(U32*(1+Premissas!$E$23),0)</f>
        <v>25448</v>
      </c>
      <c r="W32" s="60" t="n">
        <f aca="false">ROUND(V32*(1+Premissas!$E$23),0)</f>
        <v>26975</v>
      </c>
      <c r="X32" s="60" t="n">
        <f aca="false">ROUND(W32*(1+Premissas!$E$23),0)</f>
        <v>28594</v>
      </c>
      <c r="Y32" s="60" t="n">
        <f aca="false">ROUND(X32*(1+Premissas!$E$23),0)</f>
        <v>30310</v>
      </c>
      <c r="Z32" s="60" t="n">
        <f aca="false">ROUND(Y32*(1+Premissas!$E$23),0)</f>
        <v>32129</v>
      </c>
      <c r="AA32" s="60" t="n">
        <f aca="false">ROUND(Z32*(1+Premissas!$E$23),0)</f>
        <v>34057</v>
      </c>
      <c r="AB32" s="60" t="n">
        <f aca="false">ROUND(AA32*(1+Premissas!$E$23),0)</f>
        <v>36100</v>
      </c>
      <c r="AC32" s="60" t="n">
        <f aca="false">ROUND(AB32*(1+Premissas!$E$23),0)</f>
        <v>38266</v>
      </c>
      <c r="AD32" s="61" t="n">
        <f aca="false">ROUND(AVERAGE(B32:AC32),0)</f>
        <v>18122</v>
      </c>
    </row>
    <row r="33" customFormat="false" ht="15" hidden="false" customHeight="true" outlineLevel="0" collapsed="false">
      <c r="A33" s="59" t="s">
        <v>179</v>
      </c>
      <c r="B33" s="60" t="n">
        <v>0</v>
      </c>
      <c r="C33" s="60" t="n">
        <v>0</v>
      </c>
      <c r="D33" s="60" t="n">
        <v>0</v>
      </c>
      <c r="E33" s="60" t="n">
        <v>0</v>
      </c>
      <c r="F33" s="60" t="n">
        <v>0</v>
      </c>
      <c r="G33" s="60" t="n">
        <v>0</v>
      </c>
      <c r="H33" s="60" t="n">
        <f aca="false">Premissas!$E$16</f>
        <v>25</v>
      </c>
      <c r="I33" s="60" t="n">
        <f aca="false">ROUND(H33*(1+Premissas!$E$17),0)</f>
        <v>30</v>
      </c>
      <c r="J33" s="60" t="n">
        <f aca="false">ROUND(I33*(1+Premissas!$E$17),0)</f>
        <v>35</v>
      </c>
      <c r="K33" s="60" t="n">
        <f aca="false">ROUND(J33*(1+Premissas!$E$17),0)</f>
        <v>41</v>
      </c>
      <c r="L33" s="60" t="n">
        <f aca="false">ROUND(K33*(1+Premissas!$E$17),0)</f>
        <v>48</v>
      </c>
      <c r="M33" s="60" t="n">
        <f aca="false">ROUND(L33*(1+Premissas!$E$17),0)</f>
        <v>57</v>
      </c>
      <c r="N33" s="60" t="n">
        <f aca="false">ROUND(M33*(1+Premissas!$E$17),0)</f>
        <v>67</v>
      </c>
      <c r="O33" s="60" t="n">
        <f aca="false">ROUND(N33*(1+Premissas!$E$17),0)</f>
        <v>79</v>
      </c>
      <c r="P33" s="60" t="n">
        <f aca="false">ROUND(O33*(1+Premissas!$E$17),0)</f>
        <v>93</v>
      </c>
      <c r="Q33" s="60" t="n">
        <f aca="false">ROUND(P33*(1+Premissas!$E$17),0)</f>
        <v>110</v>
      </c>
      <c r="R33" s="60" t="n">
        <f aca="false">ROUND(Q33*(1+Premissas!$E$17),0)</f>
        <v>130</v>
      </c>
      <c r="S33" s="60" t="n">
        <f aca="false">ROUND(R33*(1+Premissas!$E$17),0)</f>
        <v>153</v>
      </c>
      <c r="T33" s="60" t="n">
        <f aca="false">ROUND(S33*(1+Premissas!$E$17),0)</f>
        <v>181</v>
      </c>
      <c r="U33" s="60" t="n">
        <f aca="false">ROUND(T33*(1+Premissas!$E$17),0)</f>
        <v>214</v>
      </c>
      <c r="V33" s="60" t="n">
        <f aca="false">ROUND(U33*(1+Premissas!$E$17),0)</f>
        <v>253</v>
      </c>
      <c r="W33" s="60" t="n">
        <f aca="false">ROUND(V33*(1+Premissas!$E$17),0)</f>
        <v>299</v>
      </c>
      <c r="X33" s="60" t="n">
        <f aca="false">ROUND(W33*(1+Premissas!$E$17),0)</f>
        <v>353</v>
      </c>
      <c r="Y33" s="60" t="n">
        <f aca="false">ROUND(X33*(1+Premissas!$E$17),0)</f>
        <v>417</v>
      </c>
      <c r="Z33" s="60" t="n">
        <f aca="false">ROUND(Y33*(1+Premissas!$E$17),0)</f>
        <v>492</v>
      </c>
      <c r="AA33" s="60" t="n">
        <f aca="false">ROUND(Z33*(1+Premissas!$E$17),0)</f>
        <v>581</v>
      </c>
      <c r="AB33" s="60" t="n">
        <f aca="false">ROUND(AA33*(1+Premissas!$E$17),0)</f>
        <v>686</v>
      </c>
      <c r="AC33" s="60" t="n">
        <f aca="false">ROUND(AB33*(1+Premissas!$E$17),0)</f>
        <v>809</v>
      </c>
      <c r="AD33" s="61" t="n">
        <f aca="false">ROUND(AVERAGE(N33:AC33),0)</f>
        <v>307</v>
      </c>
    </row>
    <row r="34" customFormat="false" ht="15" hidden="false" customHeight="true" outlineLevel="0" collapsed="false">
      <c r="A34" s="59" t="s">
        <v>180</v>
      </c>
      <c r="B34" s="60" t="n">
        <v>0</v>
      </c>
      <c r="C34" s="60" t="n">
        <v>0</v>
      </c>
      <c r="D34" s="60" t="n">
        <v>0</v>
      </c>
      <c r="E34" s="60" t="n">
        <v>0</v>
      </c>
      <c r="F34" s="60" t="n">
        <v>0</v>
      </c>
      <c r="G34" s="60" t="n">
        <v>0</v>
      </c>
      <c r="H34" s="60" t="n">
        <v>0</v>
      </c>
      <c r="I34" s="60" t="n">
        <v>0</v>
      </c>
      <c r="J34" s="60" t="n">
        <v>0</v>
      </c>
      <c r="K34" s="60" t="n">
        <v>0</v>
      </c>
      <c r="L34" s="60" t="n">
        <v>0</v>
      </c>
      <c r="M34" s="60" t="n">
        <v>0</v>
      </c>
      <c r="N34" s="60" t="n">
        <f aca="false">Premissas!$E$24</f>
        <v>20</v>
      </c>
      <c r="O34" s="60" t="n">
        <f aca="false">ROUND(N34*(1+Premissas!$E$25)*(1-Premissas!$E$26),0)</f>
        <v>22</v>
      </c>
      <c r="P34" s="60" t="n">
        <f aca="false">ROUND(O34*(1+Premissas!$E$25)*(1-Premissas!$E$26),0)</f>
        <v>24</v>
      </c>
      <c r="Q34" s="60" t="n">
        <f aca="false">ROUND(P34*(1+Premissas!$E$25)*(1-Premissas!$E$26),0)</f>
        <v>26</v>
      </c>
      <c r="R34" s="60" t="n">
        <f aca="false">ROUND(Q34*(1+Premissas!$E$25)*(1-Premissas!$E$26),0)</f>
        <v>29</v>
      </c>
      <c r="S34" s="60" t="n">
        <f aca="false">ROUND(R34*(1+Premissas!$E$25)*(1-Premissas!$E$26),0)</f>
        <v>32</v>
      </c>
      <c r="T34" s="60" t="n">
        <f aca="false">ROUND(S34*(1+Premissas!$E$25)*(1-Premissas!$E$26),0)</f>
        <v>35</v>
      </c>
      <c r="U34" s="60" t="n">
        <f aca="false">ROUND(T34*(1+Premissas!$E$25)*(1-Premissas!$E$26),0)</f>
        <v>39</v>
      </c>
      <c r="V34" s="60" t="n">
        <f aca="false">ROUND(U34*(1+Premissas!$E$25)*(1-Premissas!$E$26),0)</f>
        <v>43</v>
      </c>
      <c r="W34" s="60" t="n">
        <f aca="false">ROUND(V34*(1+Premissas!$E$25)*(1-Premissas!$E$26),0)</f>
        <v>47</v>
      </c>
      <c r="X34" s="60" t="n">
        <f aca="false">ROUND(W34*(1+Premissas!$E$25)*(1-Premissas!$E$26),0)</f>
        <v>52</v>
      </c>
      <c r="Y34" s="60" t="n">
        <f aca="false">ROUND(X34*(1+Premissas!$E$25)*(1-Premissas!$E$26),0)</f>
        <v>57</v>
      </c>
      <c r="Z34" s="60" t="n">
        <f aca="false">ROUND(Y34*(1+Premissas!$E$25)*(1-Premissas!$E$26),0)</f>
        <v>63</v>
      </c>
      <c r="AA34" s="60" t="n">
        <f aca="false">ROUND(Z34*(1+Premissas!$E$25)*(1-Premissas!$E$26),0)</f>
        <v>69</v>
      </c>
      <c r="AB34" s="60" t="n">
        <f aca="false">ROUND(AA34*(1+Premissas!$E$25)*(1-Premissas!$E$26),0)</f>
        <v>76</v>
      </c>
      <c r="AC34" s="60" t="n">
        <f aca="false">ROUND(AB34*(1+Premissas!$E$25)*(1-Premissas!$E$26),0)</f>
        <v>84</v>
      </c>
      <c r="AD34" s="61" t="n">
        <f aca="false">ROUND(AVERAGE(N34:AC34),0)</f>
        <v>45</v>
      </c>
    </row>
    <row r="36" customFormat="false" ht="15" hidden="false" customHeight="true" outlineLevel="0" collapsed="false">
      <c r="A36" s="58" t="s">
        <v>181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</row>
    <row r="37" customFormat="false" ht="15" hidden="false" customHeight="true" outlineLevel="0" collapsed="false">
      <c r="A37" s="62" t="s">
        <v>182</v>
      </c>
      <c r="B37" s="63" t="n">
        <f aca="false">B32*Premissas!$E$9*Premissas!$E$10*Premissas!$E$11*Premissas!$E$12</f>
        <v>91</v>
      </c>
      <c r="C37" s="63" t="n">
        <f aca="false">C32*Premissas!$E$9*Premissas!$E$10*Premissas!$E$11*Premissas!$E$12</f>
        <v>113.75</v>
      </c>
      <c r="D37" s="63" t="n">
        <f aca="false">D32*Premissas!$E$9*Premissas!$E$10*Premissas!$E$11*Premissas!$E$12</f>
        <v>142.1784</v>
      </c>
      <c r="E37" s="63" t="n">
        <f aca="false">E32*Premissas!$E$9*Premissas!$E$10*Premissas!$E$11*Premissas!$E$12</f>
        <v>177.7412</v>
      </c>
      <c r="F37" s="63" t="n">
        <f aca="false">F32*Premissas!$E$9*Premissas!$E$10*Premissas!$E$11*Premissas!$E$12</f>
        <v>222.1856</v>
      </c>
      <c r="G37" s="63" t="n">
        <f aca="false">G32*Premissas!$E$9*Premissas!$E$10*Premissas!$E$11*Premissas!$E$12</f>
        <v>277.732</v>
      </c>
      <c r="H37" s="63" t="n">
        <f aca="false">H32*Premissas!$E$9*Premissas!$E$10*Premissas!$E$11*Premissas!$E$12</f>
        <v>311.0744</v>
      </c>
      <c r="I37" s="63" t="n">
        <f aca="false">I32*Premissas!$E$9*Premissas!$E$10*Premissas!$E$11*Premissas!$E$12</f>
        <v>348.4208</v>
      </c>
      <c r="J37" s="63" t="n">
        <f aca="false">J32*Premissas!$E$9*Premissas!$E$10*Premissas!$E$11*Premissas!$E$12</f>
        <v>390.2444</v>
      </c>
      <c r="K37" s="63" t="n">
        <f aca="false">K32*Premissas!$E$9*Premissas!$E$10*Premissas!$E$11*Premissas!$E$12</f>
        <v>437.0912</v>
      </c>
      <c r="L37" s="63" t="n">
        <f aca="false">L32*Premissas!$E$9*Premissas!$E$10*Premissas!$E$11*Premissas!$E$12</f>
        <v>489.5436</v>
      </c>
      <c r="M37" s="63" t="n">
        <f aca="false">M32*Premissas!$E$9*Premissas!$E$10*Premissas!$E$11*Premissas!$E$12</f>
        <v>548.2932</v>
      </c>
      <c r="N37" s="63" t="n">
        <f aca="false">N32*Premissas!$E$9*Premissas!$E$10*Premissas!$E$11*Premissas!$E$12</f>
        <v>581.1988</v>
      </c>
      <c r="O37" s="63" t="n">
        <f aca="false">O32*Premissas!$E$9*Premissas!$E$10*Premissas!$E$11*Premissas!$E$12</f>
        <v>616.07</v>
      </c>
      <c r="P37" s="63" t="n">
        <f aca="false">P32*Premissas!$E$9*Premissas!$E$10*Premissas!$E$11*Premissas!$E$12</f>
        <v>653.0524</v>
      </c>
      <c r="Q37" s="63" t="n">
        <f aca="false">Q32*Premissas!$E$9*Premissas!$E$10*Premissas!$E$11*Premissas!$E$12</f>
        <v>692.2188</v>
      </c>
      <c r="R37" s="63" t="n">
        <f aca="false">R32*Premissas!$E$9*Premissas!$E$10*Premissas!$E$11*Premissas!$E$12</f>
        <v>733.7512</v>
      </c>
      <c r="S37" s="63" t="n">
        <f aca="false">S32*Premissas!$E$9*Premissas!$E$10*Premissas!$E$11*Premissas!$E$12</f>
        <v>777.7588</v>
      </c>
      <c r="T37" s="63" t="n">
        <f aca="false">T32*Premissas!$E$9*Premissas!$E$10*Premissas!$E$11*Premissas!$E$12</f>
        <v>824.4236</v>
      </c>
      <c r="U37" s="63" t="n">
        <f aca="false">U32*Premissas!$E$9*Premissas!$E$10*Premissas!$E$11*Premissas!$E$12</f>
        <v>873.8912</v>
      </c>
      <c r="V37" s="63" t="n">
        <f aca="false">V32*Premissas!$E$9*Premissas!$E$10*Premissas!$E$11*Premissas!$E$12</f>
        <v>926.3072</v>
      </c>
      <c r="W37" s="63" t="n">
        <f aca="false">W32*Premissas!$E$9*Premissas!$E$10*Premissas!$E$11*Premissas!$E$12</f>
        <v>981.89</v>
      </c>
      <c r="X37" s="63" t="n">
        <f aca="false">X32*Premissas!$E$9*Premissas!$E$10*Premissas!$E$11*Premissas!$E$12</f>
        <v>1040.8216</v>
      </c>
      <c r="Y37" s="63" t="n">
        <f aca="false">Y32*Premissas!$E$9*Premissas!$E$10*Premissas!$E$11*Premissas!$E$12</f>
        <v>1103.284</v>
      </c>
      <c r="Z37" s="63" t="n">
        <f aca="false">Z32*Premissas!$E$9*Premissas!$E$10*Premissas!$E$11*Premissas!$E$12</f>
        <v>1169.4956</v>
      </c>
      <c r="AA37" s="63" t="n">
        <f aca="false">AA32*Premissas!$E$9*Premissas!$E$10*Premissas!$E$11*Premissas!$E$12</f>
        <v>1239.6748</v>
      </c>
      <c r="AB37" s="63" t="n">
        <f aca="false">AB32*Premissas!$E$9*Premissas!$E$10*Premissas!$E$11*Premissas!$E$12</f>
        <v>1314.04</v>
      </c>
      <c r="AC37" s="63" t="n">
        <f aca="false">AC32*Premissas!$E$9*Premissas!$E$10*Premissas!$E$11*Premissas!$E$12</f>
        <v>1392.8824</v>
      </c>
      <c r="AD37" s="64" t="n">
        <f aca="false">SUM(B37:AC37)</f>
        <v>18470.0152</v>
      </c>
    </row>
    <row r="38" customFormat="false" ht="15" hidden="false" customHeight="true" outlineLevel="0" collapsed="false">
      <c r="A38" s="65" t="s">
        <v>183</v>
      </c>
      <c r="B38" s="63" t="n">
        <f aca="false">B33*Premissas!$E$18*Premissas!$E$19*Premissas!$E$20</f>
        <v>0</v>
      </c>
      <c r="C38" s="63" t="n">
        <f aca="false">C33*Premissas!$E$18*Premissas!$E$19*Premissas!$E$20</f>
        <v>0</v>
      </c>
      <c r="D38" s="63" t="n">
        <f aca="false">D33*Premissas!$E$18*Premissas!$E$19*Premissas!$E$20</f>
        <v>0</v>
      </c>
      <c r="E38" s="63" t="n">
        <f aca="false">E33*Premissas!$E$18*Premissas!$E$19*Premissas!$E$20</f>
        <v>0</v>
      </c>
      <c r="F38" s="63" t="n">
        <f aca="false">F33*Premissas!$E$18*Premissas!$E$19*Premissas!$E$20</f>
        <v>0</v>
      </c>
      <c r="G38" s="63" t="n">
        <f aca="false">G33*Premissas!$E$18*Premissas!$E$19*Premissas!$E$20</f>
        <v>0</v>
      </c>
      <c r="H38" s="63" t="n">
        <f aca="false">H33*Premissas!$E$18*Premissas!$E$19*Premissas!$E$20</f>
        <v>2625</v>
      </c>
      <c r="I38" s="63" t="n">
        <f aca="false">I33*Premissas!$E$18*Premissas!$E$19*Premissas!$E$20</f>
        <v>3150</v>
      </c>
      <c r="J38" s="63" t="n">
        <f aca="false">J33*Premissas!$E$18*Premissas!$E$19*Premissas!$E$20</f>
        <v>3675</v>
      </c>
      <c r="K38" s="63" t="n">
        <f aca="false">K33*Premissas!$E$18*Premissas!$E$19*Premissas!$E$20</f>
        <v>4305</v>
      </c>
      <c r="L38" s="63" t="n">
        <f aca="false">L33*Premissas!$E$18*Premissas!$E$19*Premissas!$E$20</f>
        <v>5040</v>
      </c>
      <c r="M38" s="63" t="n">
        <f aca="false">M33*Premissas!$E$18*Premissas!$E$19*Premissas!$E$20</f>
        <v>5985</v>
      </c>
      <c r="N38" s="63" t="n">
        <f aca="false">N33*Premissas!$E$18*Premissas!$E$19*Premissas!$E$20</f>
        <v>7035</v>
      </c>
      <c r="O38" s="63" t="n">
        <f aca="false">O33*Premissas!$E$18*Premissas!$E$19*Premissas!$E$20</f>
        <v>8295</v>
      </c>
      <c r="P38" s="63" t="n">
        <f aca="false">P33*Premissas!$E$18*Premissas!$E$19*Premissas!$E$20</f>
        <v>9765</v>
      </c>
      <c r="Q38" s="63" t="n">
        <f aca="false">Q33*Premissas!$E$18*Premissas!$E$19*Premissas!$E$20</f>
        <v>11550</v>
      </c>
      <c r="R38" s="63" t="n">
        <f aca="false">R33*Premissas!$E$18*Premissas!$E$19*Premissas!$E$20</f>
        <v>13650</v>
      </c>
      <c r="S38" s="63" t="n">
        <f aca="false">S33*Premissas!$E$18*Premissas!$E$19*Premissas!$E$20</f>
        <v>16065</v>
      </c>
      <c r="T38" s="63" t="n">
        <f aca="false">T33*Premissas!$E$18*Premissas!$E$19*Premissas!$E$20</f>
        <v>19005</v>
      </c>
      <c r="U38" s="63" t="n">
        <f aca="false">U33*Premissas!$E$18*Premissas!$E$19*Premissas!$E$20</f>
        <v>22470</v>
      </c>
      <c r="V38" s="63" t="n">
        <f aca="false">V33*Premissas!$E$18*Premissas!$E$19*Premissas!$E$20</f>
        <v>26565</v>
      </c>
      <c r="W38" s="63" t="n">
        <f aca="false">W33*Premissas!$E$18*Premissas!$E$19*Premissas!$E$20</f>
        <v>31395</v>
      </c>
      <c r="X38" s="63" t="n">
        <f aca="false">X33*Premissas!$E$18*Premissas!$E$19*Premissas!$E$20</f>
        <v>37065</v>
      </c>
      <c r="Y38" s="63" t="n">
        <f aca="false">Y33*Premissas!$E$18*Premissas!$E$19*Premissas!$E$20</f>
        <v>43785</v>
      </c>
      <c r="Z38" s="63" t="n">
        <f aca="false">Z33*Premissas!$E$18*Premissas!$E$19*Premissas!$E$20</f>
        <v>51660</v>
      </c>
      <c r="AA38" s="63" t="n">
        <f aca="false">AA33*Premissas!$E$18*Premissas!$E$19*Premissas!$E$20</f>
        <v>61005</v>
      </c>
      <c r="AB38" s="63" t="n">
        <f aca="false">AB33*Premissas!$E$18*Premissas!$E$19*Premissas!$E$20</f>
        <v>72030</v>
      </c>
      <c r="AC38" s="63" t="n">
        <f aca="false">AC33*Premissas!$E$18*Premissas!$E$19*Premissas!$E$20</f>
        <v>84945</v>
      </c>
      <c r="AD38" s="64" t="n">
        <f aca="false">SUM(B38:AC38)</f>
        <v>541065</v>
      </c>
    </row>
    <row r="39" customFormat="false" ht="15" hidden="false" customHeight="true" outlineLevel="0" collapsed="false">
      <c r="A39" s="66" t="s">
        <v>184</v>
      </c>
      <c r="B39" s="63" t="n">
        <f aca="false">B34*Premissas!$E$27</f>
        <v>0</v>
      </c>
      <c r="C39" s="63" t="n">
        <f aca="false">C34*Premissas!$E$27</f>
        <v>0</v>
      </c>
      <c r="D39" s="63" t="n">
        <f aca="false">D34*Premissas!$E$27</f>
        <v>0</v>
      </c>
      <c r="E39" s="63" t="n">
        <f aca="false">E34*Premissas!$E$27</f>
        <v>0</v>
      </c>
      <c r="F39" s="63" t="n">
        <f aca="false">F34*Premissas!$E$27</f>
        <v>0</v>
      </c>
      <c r="G39" s="63" t="n">
        <f aca="false">G34*Premissas!$E$27</f>
        <v>0</v>
      </c>
      <c r="H39" s="63" t="n">
        <f aca="false">H34*Premissas!$E$27</f>
        <v>0</v>
      </c>
      <c r="I39" s="63" t="n">
        <f aca="false">I34*Premissas!$E$27</f>
        <v>0</v>
      </c>
      <c r="J39" s="63" t="n">
        <f aca="false">J34*Premissas!$E$27</f>
        <v>0</v>
      </c>
      <c r="K39" s="63" t="n">
        <f aca="false">K34*Premissas!$E$27</f>
        <v>0</v>
      </c>
      <c r="L39" s="63" t="n">
        <f aca="false">L34*Premissas!$E$27</f>
        <v>0</v>
      </c>
      <c r="M39" s="63" t="n">
        <f aca="false">M34*Premissas!$E$27</f>
        <v>0</v>
      </c>
      <c r="N39" s="63" t="n">
        <f aca="false">N34*Premissas!$E$27</f>
        <v>1980</v>
      </c>
      <c r="O39" s="63" t="n">
        <f aca="false">O34*Premissas!$E$27</f>
        <v>2178</v>
      </c>
      <c r="P39" s="63" t="n">
        <f aca="false">P34*Premissas!$E$27</f>
        <v>2376</v>
      </c>
      <c r="Q39" s="63" t="n">
        <f aca="false">Q34*Premissas!$E$27</f>
        <v>2574</v>
      </c>
      <c r="R39" s="63" t="n">
        <f aca="false">R34*Premissas!$E$27</f>
        <v>2871</v>
      </c>
      <c r="S39" s="63" t="n">
        <f aca="false">S34*Premissas!$E$27</f>
        <v>3168</v>
      </c>
      <c r="T39" s="63" t="n">
        <f aca="false">T34*Premissas!$E$27</f>
        <v>3465</v>
      </c>
      <c r="U39" s="63" t="n">
        <f aca="false">U34*Premissas!$E$27</f>
        <v>3861</v>
      </c>
      <c r="V39" s="63" t="n">
        <f aca="false">V34*Premissas!$E$27</f>
        <v>4257</v>
      </c>
      <c r="W39" s="63" t="n">
        <f aca="false">W34*Premissas!$E$27</f>
        <v>4653</v>
      </c>
      <c r="X39" s="63" t="n">
        <f aca="false">X34*Premissas!$E$27</f>
        <v>5148</v>
      </c>
      <c r="Y39" s="63" t="n">
        <f aca="false">Y34*Premissas!$E$27</f>
        <v>5643</v>
      </c>
      <c r="Z39" s="63" t="n">
        <f aca="false">Z34*Premissas!$E$27</f>
        <v>6237</v>
      </c>
      <c r="AA39" s="63" t="n">
        <f aca="false">AA34*Premissas!$E$27</f>
        <v>6831</v>
      </c>
      <c r="AB39" s="63" t="n">
        <f aca="false">AB34*Premissas!$E$27</f>
        <v>7524</v>
      </c>
      <c r="AC39" s="63" t="n">
        <f aca="false">AC34*Premissas!$E$27</f>
        <v>8316</v>
      </c>
      <c r="AD39" s="64" t="n">
        <f aca="false">SUM(B39:AC39)</f>
        <v>71082</v>
      </c>
    </row>
    <row r="40" customFormat="false" ht="15" hidden="false" customHeight="true" outlineLevel="0" collapsed="false">
      <c r="A40" s="67" t="s">
        <v>185</v>
      </c>
      <c r="B40" s="44" t="n">
        <f aca="false">B37+B38+B39</f>
        <v>91</v>
      </c>
      <c r="C40" s="44" t="n">
        <f aca="false">C37+C38+C39</f>
        <v>113.75</v>
      </c>
      <c r="D40" s="44" t="n">
        <f aca="false">D37+D38+D39</f>
        <v>142.1784</v>
      </c>
      <c r="E40" s="44" t="n">
        <f aca="false">E37+E38+E39</f>
        <v>177.7412</v>
      </c>
      <c r="F40" s="44" t="n">
        <f aca="false">F37+F38+F39</f>
        <v>222.1856</v>
      </c>
      <c r="G40" s="44" t="n">
        <f aca="false">G37+G38+G39</f>
        <v>277.732</v>
      </c>
      <c r="H40" s="44" t="n">
        <f aca="false">H37+H38+H39</f>
        <v>2936.0744</v>
      </c>
      <c r="I40" s="44" t="n">
        <f aca="false">I37+I38+I39</f>
        <v>3498.4208</v>
      </c>
      <c r="J40" s="44" t="n">
        <f aca="false">J37+J38+J39</f>
        <v>4065.2444</v>
      </c>
      <c r="K40" s="44" t="n">
        <f aca="false">K37+K38+K39</f>
        <v>4742.0912</v>
      </c>
      <c r="L40" s="44" t="n">
        <f aca="false">L37+L38+L39</f>
        <v>5529.5436</v>
      </c>
      <c r="M40" s="44" t="n">
        <f aca="false">M37+M38+M39</f>
        <v>6533.2932</v>
      </c>
      <c r="N40" s="44" t="n">
        <f aca="false">N37+N38+N39</f>
        <v>9596.1988</v>
      </c>
      <c r="O40" s="44" t="n">
        <f aca="false">O37+O38+O39</f>
        <v>11089.07</v>
      </c>
      <c r="P40" s="44" t="n">
        <f aca="false">P37+P38+P39</f>
        <v>12794.0524</v>
      </c>
      <c r="Q40" s="44" t="n">
        <f aca="false">Q37+Q38+Q39</f>
        <v>14816.2188</v>
      </c>
      <c r="R40" s="44" t="n">
        <f aca="false">R37+R38+R39</f>
        <v>17254.7512</v>
      </c>
      <c r="S40" s="44" t="n">
        <f aca="false">S37+S38+S39</f>
        <v>20010.7588</v>
      </c>
      <c r="T40" s="44" t="n">
        <f aca="false">T37+T38+T39</f>
        <v>23294.4236</v>
      </c>
      <c r="U40" s="44" t="n">
        <f aca="false">U37+U38+U39</f>
        <v>27204.8912</v>
      </c>
      <c r="V40" s="44" t="n">
        <f aca="false">V37+V38+V39</f>
        <v>31748.3072</v>
      </c>
      <c r="W40" s="44" t="n">
        <f aca="false">W37+W38+W39</f>
        <v>37029.89</v>
      </c>
      <c r="X40" s="44" t="n">
        <f aca="false">X37+X38+X39</f>
        <v>43253.8216</v>
      </c>
      <c r="Y40" s="44" t="n">
        <f aca="false">Y37+Y38+Y39</f>
        <v>50531.284</v>
      </c>
      <c r="Z40" s="44" t="n">
        <f aca="false">Z37+Z38+Z39</f>
        <v>59066.4956</v>
      </c>
      <c r="AA40" s="44" t="n">
        <f aca="false">AA37+AA38+AA39</f>
        <v>69075.6748</v>
      </c>
      <c r="AB40" s="44" t="n">
        <f aca="false">AB37+AB38+AB39</f>
        <v>80868.04</v>
      </c>
      <c r="AC40" s="44" t="n">
        <f aca="false">AC37+AC38+AC39</f>
        <v>94653.8824</v>
      </c>
      <c r="AD40" s="44" t="n">
        <f aca="false">SUM(B40:AC40)</f>
        <v>630617.0152</v>
      </c>
    </row>
    <row r="42" customFormat="false" ht="15" hidden="false" customHeight="true" outlineLevel="0" collapsed="false">
      <c r="A42" s="58" t="s">
        <v>186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</row>
    <row r="43" customFormat="false" ht="15" hidden="false" customHeight="true" outlineLevel="0" collapsed="false">
      <c r="A43" s="59" t="s">
        <v>187</v>
      </c>
      <c r="B43" s="68" t="n">
        <f aca="false">-Premissas!$C$41</f>
        <v>-1800</v>
      </c>
      <c r="C43" s="68" t="n">
        <f aca="false">-Premissas!$C$41</f>
        <v>-1800</v>
      </c>
      <c r="D43" s="68" t="n">
        <f aca="false">-Premissas!$C$41</f>
        <v>-1800</v>
      </c>
      <c r="E43" s="68" t="n">
        <f aca="false">-Premissas!$C$41</f>
        <v>-1800</v>
      </c>
      <c r="F43" s="68" t="n">
        <f aca="false">-Premissas!$C$41</f>
        <v>-1800</v>
      </c>
      <c r="G43" s="68" t="n">
        <f aca="false">-Premissas!$C$41</f>
        <v>-1800</v>
      </c>
      <c r="H43" s="68" t="n">
        <f aca="false">-Premissas!$D$41</f>
        <v>-14000</v>
      </c>
      <c r="I43" s="68" t="n">
        <f aca="false">-Premissas!$D$41</f>
        <v>-14000</v>
      </c>
      <c r="J43" s="68" t="n">
        <f aca="false">-Premissas!$D$41</f>
        <v>-14000</v>
      </c>
      <c r="K43" s="68" t="n">
        <f aca="false">-Premissas!$D$41</f>
        <v>-14000</v>
      </c>
      <c r="L43" s="68" t="n">
        <f aca="false">-Premissas!$D$41</f>
        <v>-14000</v>
      </c>
      <c r="M43" s="68" t="n">
        <f aca="false">-Premissas!$D$41</f>
        <v>-14000</v>
      </c>
      <c r="N43" s="68" t="n">
        <f aca="false">-Premissas!$E$41</f>
        <v>-35500</v>
      </c>
      <c r="O43" s="68" t="n">
        <f aca="false">-Premissas!$E$41</f>
        <v>-35500</v>
      </c>
      <c r="P43" s="68" t="n">
        <f aca="false">-Premissas!$E$41</f>
        <v>-35500</v>
      </c>
      <c r="Q43" s="68" t="n">
        <f aca="false">-Premissas!$E$41</f>
        <v>-35500</v>
      </c>
      <c r="R43" s="68" t="n">
        <f aca="false">-Premissas!$E$41</f>
        <v>-35500</v>
      </c>
      <c r="S43" s="68" t="n">
        <f aca="false">-Premissas!$E$41</f>
        <v>-35500</v>
      </c>
      <c r="T43" s="68" t="n">
        <f aca="false">-Premissas!$E$41</f>
        <v>-35500</v>
      </c>
      <c r="U43" s="68" t="n">
        <f aca="false">-Premissas!$E$41</f>
        <v>-35500</v>
      </c>
      <c r="V43" s="68" t="n">
        <f aca="false">-Premissas!$E$41</f>
        <v>-35500</v>
      </c>
      <c r="W43" s="68" t="n">
        <f aca="false">-Premissas!$E$41</f>
        <v>-35500</v>
      </c>
      <c r="X43" s="68" t="n">
        <f aca="false">-Premissas!$E$41</f>
        <v>-35500</v>
      </c>
      <c r="Y43" s="68" t="n">
        <f aca="false">-Premissas!$E$41</f>
        <v>-35500</v>
      </c>
      <c r="Z43" s="68" t="n">
        <f aca="false">-Premissas!$E$41</f>
        <v>-35500</v>
      </c>
      <c r="AA43" s="68" t="n">
        <f aca="false">-Premissas!$E$41</f>
        <v>-35500</v>
      </c>
      <c r="AB43" s="68" t="n">
        <f aca="false">-Premissas!$E$41</f>
        <v>-35500</v>
      </c>
      <c r="AC43" s="68" t="n">
        <f aca="false">-Premissas!$E$41</f>
        <v>-35500</v>
      </c>
      <c r="AD43" s="64" t="n">
        <f aca="false">SUM(B43:AC43)</f>
        <v>-662800</v>
      </c>
    </row>
    <row r="44" customFormat="false" ht="15" hidden="false" customHeight="true" outlineLevel="0" collapsed="false">
      <c r="A44" s="59" t="s">
        <v>188</v>
      </c>
      <c r="B44" s="63" t="n">
        <f aca="false">-B40*(Premissas!$C$44+Premissas!$C$45+Premissas!$C$46)</f>
        <v>-6.0515</v>
      </c>
      <c r="C44" s="63" t="n">
        <f aca="false">-C40*(Premissas!$C$44+Premissas!$C$45+Premissas!$C$46)</f>
        <v>-7.564375</v>
      </c>
      <c r="D44" s="63" t="n">
        <f aca="false">-D40*(Premissas!$C$44+Premissas!$C$45+Premissas!$C$46)</f>
        <v>-9.4548636</v>
      </c>
      <c r="E44" s="63" t="n">
        <f aca="false">-E40*(Premissas!$C$44+Premissas!$C$45+Premissas!$C$46)</f>
        <v>-11.8197898</v>
      </c>
      <c r="F44" s="63" t="n">
        <f aca="false">-F40*(Premissas!$C$44+Premissas!$C$45+Premissas!$C$46)</f>
        <v>-14.7753424</v>
      </c>
      <c r="G44" s="63" t="n">
        <f aca="false">-G40*(Premissas!$C$44+Premissas!$C$45+Premissas!$C$46)</f>
        <v>-18.469178</v>
      </c>
      <c r="H44" s="63" t="n">
        <f aca="false">-H40*(Premissas!$C$44+Premissas!$C$45+Premissas!$C$46)</f>
        <v>-195.2489476</v>
      </c>
      <c r="I44" s="63" t="n">
        <f aca="false">-I40*(Premissas!$C$44+Premissas!$C$45+Premissas!$C$46)</f>
        <v>-232.6449832</v>
      </c>
      <c r="J44" s="63" t="n">
        <f aca="false">-J40*(Premissas!$C$44+Premissas!$C$45+Premissas!$C$46)</f>
        <v>-270.3387526</v>
      </c>
      <c r="K44" s="63" t="n">
        <f aca="false">-K40*(Premissas!$C$44+Premissas!$C$45+Premissas!$C$46)</f>
        <v>-315.3490648</v>
      </c>
      <c r="L44" s="63" t="n">
        <f aca="false">-L40*(Premissas!$C$44+Premissas!$C$45+Premissas!$C$46)</f>
        <v>-367.7146494</v>
      </c>
      <c r="M44" s="63" t="n">
        <f aca="false">-M40*(Premissas!$C$44+Premissas!$C$45+Premissas!$C$46)</f>
        <v>-434.4639978</v>
      </c>
      <c r="N44" s="63" t="n">
        <f aca="false">-N40*(Premissas!$C$44+Premissas!$C$45+Premissas!$C$46)</f>
        <v>-638.1472202</v>
      </c>
      <c r="O44" s="63" t="n">
        <f aca="false">-O40*(Premissas!$C$44+Premissas!$C$45+Premissas!$C$46)</f>
        <v>-737.423155</v>
      </c>
      <c r="P44" s="63" t="n">
        <f aca="false">-P40*(Premissas!$C$44+Premissas!$C$45+Premissas!$C$46)</f>
        <v>-850.8044846</v>
      </c>
      <c r="Q44" s="63" t="n">
        <f aca="false">-Q40*(Premissas!$C$44+Premissas!$C$45+Premissas!$C$46)</f>
        <v>-985.2785502</v>
      </c>
      <c r="R44" s="63" t="n">
        <f aca="false">-R40*(Premissas!$C$44+Premissas!$C$45+Premissas!$C$46)</f>
        <v>-1147.4409548</v>
      </c>
      <c r="S44" s="63" t="n">
        <f aca="false">-S40*(Premissas!$C$44+Premissas!$C$45+Premissas!$C$46)</f>
        <v>-1330.7154602</v>
      </c>
      <c r="T44" s="63" t="n">
        <f aca="false">-T40*(Premissas!$C$44+Premissas!$C$45+Premissas!$C$46)</f>
        <v>-1549.0791694</v>
      </c>
      <c r="U44" s="63" t="n">
        <f aca="false">-U40*(Premissas!$C$44+Premissas!$C$45+Premissas!$C$46)</f>
        <v>-1809.1252648</v>
      </c>
      <c r="V44" s="63" t="n">
        <f aca="false">-V40*(Premissas!$C$44+Premissas!$C$45+Premissas!$C$46)</f>
        <v>-2111.2624288</v>
      </c>
      <c r="W44" s="63" t="n">
        <f aca="false">-W40*(Premissas!$C$44+Premissas!$C$45+Premissas!$C$46)</f>
        <v>-2462.487685</v>
      </c>
      <c r="X44" s="63" t="n">
        <f aca="false">-X40*(Premissas!$C$44+Premissas!$C$45+Premissas!$C$46)</f>
        <v>-2876.3791364</v>
      </c>
      <c r="Y44" s="63" t="n">
        <f aca="false">-Y40*(Premissas!$C$44+Premissas!$C$45+Premissas!$C$46)</f>
        <v>-3360.330386</v>
      </c>
      <c r="Z44" s="63" t="n">
        <f aca="false">-Z40*(Premissas!$C$44+Premissas!$C$45+Premissas!$C$46)</f>
        <v>-3927.9219574</v>
      </c>
      <c r="AA44" s="63" t="n">
        <f aca="false">-AA40*(Premissas!$C$44+Premissas!$C$45+Premissas!$C$46)</f>
        <v>-4593.5323742</v>
      </c>
      <c r="AB44" s="63" t="n">
        <f aca="false">-AB40*(Premissas!$C$44+Premissas!$C$45+Premissas!$C$46)</f>
        <v>-5377.72466</v>
      </c>
      <c r="AC44" s="63" t="n">
        <f aca="false">-AC40*(Premissas!$C$44+Premissas!$C$45+Premissas!$C$46)</f>
        <v>-6294.4831796</v>
      </c>
      <c r="AD44" s="64" t="n">
        <f aca="false">SUM(B44:AC44)</f>
        <v>-41936.0315108</v>
      </c>
    </row>
    <row r="45" customFormat="false" ht="15" hidden="false" customHeight="true" outlineLevel="0" collapsed="false">
      <c r="A45" s="59" t="s">
        <v>189</v>
      </c>
      <c r="B45" s="63" t="n">
        <f aca="false">IF((B40+B44+B43)&gt;0,-B40*(Premissas!$C$47+Premissas!$C$48),0)</f>
        <v>0</v>
      </c>
      <c r="C45" s="63" t="n">
        <f aca="false">IF((C40+C44+C43)&gt;0,-C40*(Premissas!$C$47+Premissas!$C$48),0)</f>
        <v>0</v>
      </c>
      <c r="D45" s="63" t="n">
        <f aca="false">IF((D40+D44+D43)&gt;0,-D40*(Premissas!$C$47+Premissas!$C$48),0)</f>
        <v>0</v>
      </c>
      <c r="E45" s="63" t="n">
        <f aca="false">IF((E40+E44+E43)&gt;0,-E40*(Premissas!$C$47+Premissas!$C$48),0)</f>
        <v>0</v>
      </c>
      <c r="F45" s="63" t="n">
        <f aca="false">IF((F40+F44+F43)&gt;0,-F40*(Premissas!$C$47+Premissas!$C$48),0)</f>
        <v>0</v>
      </c>
      <c r="G45" s="63" t="n">
        <f aca="false">IF((G40+G44+G43)&gt;0,-G40*(Premissas!$C$47+Premissas!$C$48),0)</f>
        <v>0</v>
      </c>
      <c r="H45" s="63" t="n">
        <f aca="false">IF((H40+H44+H43)&gt;0,-H40*(Premissas!$C$47+Premissas!$C$48),0)</f>
        <v>0</v>
      </c>
      <c r="I45" s="63" t="n">
        <f aca="false">IF((I40+I44+I43)&gt;0,-I40*(Premissas!$C$47+Premissas!$C$48),0)</f>
        <v>0</v>
      </c>
      <c r="J45" s="63" t="n">
        <f aca="false">IF((J40+J44+J43)&gt;0,-J40*(Premissas!$C$47+Premissas!$C$48),0)</f>
        <v>0</v>
      </c>
      <c r="K45" s="63" t="n">
        <f aca="false">IF((K40+K44+K43)&gt;0,-K40*(Premissas!$C$47+Premissas!$C$48),0)</f>
        <v>0</v>
      </c>
      <c r="L45" s="63" t="n">
        <f aca="false">IF((L40+L44+L43)&gt;0,-L40*(Premissas!$C$47+Premissas!$C$48),0)</f>
        <v>0</v>
      </c>
      <c r="M45" s="63" t="n">
        <f aca="false">IF((M40+M44+M43)&gt;0,-M40*(Premissas!$C$47+Premissas!$C$48),0)</f>
        <v>0</v>
      </c>
      <c r="N45" s="63" t="n">
        <f aca="false">IF((N40+N44+N43)&gt;0,-N40*(Premissas!$C$47+Premissas!$C$48),0)</f>
        <v>0</v>
      </c>
      <c r="O45" s="63" t="n">
        <f aca="false">IF((O40+O44+O43)&gt;0,-O40*(Premissas!$C$47+Premissas!$C$48),0)</f>
        <v>0</v>
      </c>
      <c r="P45" s="63" t="n">
        <f aca="false">IF((P40+P44+P43)&gt;0,-P40*(Premissas!$C$47+Premissas!$C$48),0)</f>
        <v>0</v>
      </c>
      <c r="Q45" s="63" t="n">
        <f aca="false">IF((Q40+Q44+Q43)&gt;0,-Q40*(Premissas!$C$47+Premissas!$C$48),0)</f>
        <v>0</v>
      </c>
      <c r="R45" s="63" t="n">
        <f aca="false">IF((R40+R44+R43)&gt;0,-R40*(Premissas!$C$47+Premissas!$C$48),0)</f>
        <v>0</v>
      </c>
      <c r="S45" s="63" t="n">
        <f aca="false">IF((S40+S44+S43)&gt;0,-S40*(Premissas!$C$47+Premissas!$C$48),0)</f>
        <v>0</v>
      </c>
      <c r="T45" s="63" t="n">
        <f aca="false">IF((T40+T44+T43)&gt;0,-T40*(Premissas!$C$47+Premissas!$C$48),0)</f>
        <v>0</v>
      </c>
      <c r="U45" s="63" t="n">
        <f aca="false">IF((U40+U44+U43)&gt;0,-U40*(Premissas!$C$47+Premissas!$C$48),0)</f>
        <v>0</v>
      </c>
      <c r="V45" s="63" t="n">
        <f aca="false">IF((V40+V44+V43)&gt;0,-V40*(Premissas!$C$47+Premissas!$C$48),0)</f>
        <v>0</v>
      </c>
      <c r="W45" s="63" t="n">
        <f aca="false">IF((W40+W44+W43)&gt;0,-W40*(Premissas!$C$47+Premissas!$C$48),0)</f>
        <v>0</v>
      </c>
      <c r="X45" s="63" t="n">
        <f aca="false">IF((X40+X44+X43)&gt;0,-X40*(Premissas!$C$47+Premissas!$C$48),0)</f>
        <v>-3321.89349888</v>
      </c>
      <c r="Y45" s="63" t="n">
        <f aca="false">IF((Y40+Y44+Y43)&gt;0,-Y40*(Premissas!$C$47+Premissas!$C$48),0)</f>
        <v>-3880.8026112</v>
      </c>
      <c r="Z45" s="63" t="n">
        <f aca="false">IF((Z40+Z44+Z43)&gt;0,-Z40*(Premissas!$C$47+Premissas!$C$48),0)</f>
        <v>-4536.30686208</v>
      </c>
      <c r="AA45" s="63" t="n">
        <f aca="false">IF((AA40+AA44+AA43)&gt;0,-AA40*(Premissas!$C$47+Premissas!$C$48),0)</f>
        <v>-5305.01182464</v>
      </c>
      <c r="AB45" s="63" t="n">
        <f aca="false">IF((AB40+AB44+AB43)&gt;0,-AB40*(Premissas!$C$47+Premissas!$C$48),0)</f>
        <v>-6210.665472</v>
      </c>
      <c r="AC45" s="63" t="n">
        <f aca="false">IF((AC40+AC44+AC43)&gt;0,-AC40*(Premissas!$C$47+Premissas!$C$48),0)</f>
        <v>-7269.41816832</v>
      </c>
      <c r="AD45" s="64" t="n">
        <f aca="false">SUM(B45:AC45)</f>
        <v>-30524.09843712</v>
      </c>
    </row>
    <row r="47" customFormat="false" ht="15" hidden="false" customHeight="true" outlineLevel="0" collapsed="false">
      <c r="A47" s="67" t="s">
        <v>190</v>
      </c>
      <c r="B47" s="44" t="n">
        <f aca="false">B40+B43+B44+B45</f>
        <v>-1715.0515</v>
      </c>
      <c r="C47" s="44" t="n">
        <f aca="false">C40+C43+C44+C45</f>
        <v>-1693.814375</v>
      </c>
      <c r="D47" s="44" t="n">
        <f aca="false">D40+D43+D44+D45</f>
        <v>-1667.2764636</v>
      </c>
      <c r="E47" s="44" t="n">
        <f aca="false">E40+E43+E44+E45</f>
        <v>-1634.0785898</v>
      </c>
      <c r="F47" s="44" t="n">
        <f aca="false">F40+F43+F44+F45</f>
        <v>-1592.5897424</v>
      </c>
      <c r="G47" s="44" t="n">
        <f aca="false">G40+G43+G44+G45</f>
        <v>-1540.737178</v>
      </c>
      <c r="H47" s="44" t="n">
        <f aca="false">H40+H43+H44+H45</f>
        <v>-11259.1745476</v>
      </c>
      <c r="I47" s="44" t="n">
        <f aca="false">I40+I43+I44+I45</f>
        <v>-10734.2241832</v>
      </c>
      <c r="J47" s="44" t="n">
        <f aca="false">J40+J43+J44+J45</f>
        <v>-10205.0943526</v>
      </c>
      <c r="K47" s="44" t="n">
        <f aca="false">K40+K43+K44+K45</f>
        <v>-9573.2578648</v>
      </c>
      <c r="L47" s="44" t="n">
        <f aca="false">L40+L43+L44+L45</f>
        <v>-8838.1710494</v>
      </c>
      <c r="M47" s="44" t="n">
        <f aca="false">M40+M43+M44+M45</f>
        <v>-7901.1707978</v>
      </c>
      <c r="N47" s="44" t="n">
        <f aca="false">N40+N43+N44+N45</f>
        <v>-26541.9484202</v>
      </c>
      <c r="O47" s="44" t="n">
        <f aca="false">O40+O43+O44+O45</f>
        <v>-25148.353155</v>
      </c>
      <c r="P47" s="44" t="n">
        <f aca="false">P40+P43+P44+P45</f>
        <v>-23556.7520846</v>
      </c>
      <c r="Q47" s="44" t="n">
        <f aca="false">Q40+Q43+Q44+Q45</f>
        <v>-21669.0597502</v>
      </c>
      <c r="R47" s="44" t="n">
        <f aca="false">R40+R43+R44+R45</f>
        <v>-19392.6897548</v>
      </c>
      <c r="S47" s="44" t="n">
        <f aca="false">S40+S43+S44+S45</f>
        <v>-16819.9566602</v>
      </c>
      <c r="T47" s="44" t="n">
        <f aca="false">T40+T43+T44+T45</f>
        <v>-13754.6555694</v>
      </c>
      <c r="U47" s="44" t="n">
        <f aca="false">U40+U43+U44+U45</f>
        <v>-10104.2340648</v>
      </c>
      <c r="V47" s="44" t="n">
        <f aca="false">V40+V43+V44+V45</f>
        <v>-5862.9552288</v>
      </c>
      <c r="W47" s="44" t="n">
        <f aca="false">W40+W43+W44+W45</f>
        <v>-932.597685000001</v>
      </c>
      <c r="X47" s="44" t="n">
        <f aca="false">X40+X43+X44+X45</f>
        <v>1555.54896472</v>
      </c>
      <c r="Y47" s="44" t="n">
        <f aca="false">Y40+Y43+Y44+Y45</f>
        <v>7790.15100280001</v>
      </c>
      <c r="Z47" s="44" t="n">
        <f aca="false">Z40+Z43+Z44+Z45</f>
        <v>15102.26678052</v>
      </c>
      <c r="AA47" s="44" t="n">
        <f aca="false">AA40+AA43+AA44+AA45</f>
        <v>23677.13060116</v>
      </c>
      <c r="AB47" s="44" t="n">
        <f aca="false">AB40+AB43+AB44+AB45</f>
        <v>33779.649868</v>
      </c>
      <c r="AC47" s="44" t="n">
        <f aca="false">AC40+AC43+AC44+AC45</f>
        <v>45589.98105208</v>
      </c>
      <c r="AD47" s="44" t="n">
        <f aca="false">SUM(B47:AC47)</f>
        <v>-104643.11474792</v>
      </c>
    </row>
    <row r="48" customFormat="false" ht="15" hidden="false" customHeight="true" outlineLevel="0" collapsed="false">
      <c r="A48" s="69" t="s">
        <v>191</v>
      </c>
      <c r="B48" s="64" t="n">
        <f aca="false">B47</f>
        <v>-1715.0515</v>
      </c>
      <c r="C48" s="64" t="n">
        <f aca="false">B48+C47</f>
        <v>-3408.865875</v>
      </c>
      <c r="D48" s="64" t="n">
        <f aca="false">C48+D47</f>
        <v>-5076.1423386</v>
      </c>
      <c r="E48" s="64" t="n">
        <f aca="false">D48+E47</f>
        <v>-6710.2209284</v>
      </c>
      <c r="F48" s="64" t="n">
        <f aca="false">E48+F47</f>
        <v>-8302.8106708</v>
      </c>
      <c r="G48" s="64" t="n">
        <f aca="false">F48+G47</f>
        <v>-9843.5478488</v>
      </c>
      <c r="H48" s="64" t="n">
        <f aca="false">G48+H47</f>
        <v>-21102.7223964</v>
      </c>
      <c r="I48" s="64" t="n">
        <f aca="false">H48+I47</f>
        <v>-31836.9465796</v>
      </c>
      <c r="J48" s="64" t="n">
        <f aca="false">I48+J47</f>
        <v>-42042.0409322</v>
      </c>
      <c r="K48" s="64" t="n">
        <f aca="false">J48+K47</f>
        <v>-51615.298797</v>
      </c>
      <c r="L48" s="64" t="n">
        <f aca="false">K48+L47</f>
        <v>-60453.4698464</v>
      </c>
      <c r="M48" s="64" t="n">
        <f aca="false">L48+M47</f>
        <v>-68354.6406442</v>
      </c>
      <c r="N48" s="64" t="n">
        <f aca="false">M48+N47</f>
        <v>-94896.5890644</v>
      </c>
      <c r="O48" s="64" t="n">
        <f aca="false">N48+O47</f>
        <v>-120044.9422194</v>
      </c>
      <c r="P48" s="64" t="n">
        <f aca="false">O48+P47</f>
        <v>-143601.694304</v>
      </c>
      <c r="Q48" s="64" t="n">
        <f aca="false">P48+Q47</f>
        <v>-165270.7540542</v>
      </c>
      <c r="R48" s="64" t="n">
        <f aca="false">Q48+R47</f>
        <v>-184663.443809</v>
      </c>
      <c r="S48" s="64" t="n">
        <f aca="false">R48+S47</f>
        <v>-201483.4004692</v>
      </c>
      <c r="T48" s="64" t="n">
        <f aca="false">S48+T47</f>
        <v>-215238.0560386</v>
      </c>
      <c r="U48" s="64" t="n">
        <f aca="false">T48+U47</f>
        <v>-225342.2901034</v>
      </c>
      <c r="V48" s="64" t="n">
        <f aca="false">U48+V47</f>
        <v>-231205.2453322</v>
      </c>
      <c r="W48" s="64" t="n">
        <f aca="false">V48+W47</f>
        <v>-232137.8430172</v>
      </c>
      <c r="X48" s="64" t="n">
        <f aca="false">W48+X47</f>
        <v>-230582.29405248</v>
      </c>
      <c r="Y48" s="64" t="n">
        <f aca="false">X48+Y47</f>
        <v>-222792.14304968</v>
      </c>
      <c r="Z48" s="64" t="n">
        <f aca="false">Y48+Z47</f>
        <v>-207689.87626916</v>
      </c>
      <c r="AA48" s="64" t="n">
        <f aca="false">Z48+AA47</f>
        <v>-184012.745668</v>
      </c>
      <c r="AB48" s="64" t="n">
        <f aca="false">AA48+AB47</f>
        <v>-150233.0958</v>
      </c>
      <c r="AC48" s="64" t="n">
        <f aca="false">AB48+AC47</f>
        <v>-104643.11474792</v>
      </c>
    </row>
    <row r="51" customFormat="false" ht="15" hidden="false" customHeight="true" outlineLevel="0" collapsed="false">
      <c r="A51" s="71" t="s">
        <v>193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</row>
    <row r="52" customFormat="false" ht="30" hidden="false" customHeight="true" outlineLevel="0" collapsed="false">
      <c r="A52" s="50" t="s">
        <v>143</v>
      </c>
      <c r="B52" s="51" t="s">
        <v>144</v>
      </c>
      <c r="C52" s="51" t="s">
        <v>145</v>
      </c>
      <c r="D52" s="51" t="s">
        <v>146</v>
      </c>
      <c r="E52" s="51" t="s">
        <v>147</v>
      </c>
      <c r="F52" s="51" t="s">
        <v>148</v>
      </c>
      <c r="G52" s="51" t="s">
        <v>149</v>
      </c>
      <c r="H52" s="52" t="s">
        <v>150</v>
      </c>
      <c r="I52" s="52" t="s">
        <v>151</v>
      </c>
      <c r="J52" s="52" t="s">
        <v>152</v>
      </c>
      <c r="K52" s="52" t="s">
        <v>153</v>
      </c>
      <c r="L52" s="52" t="s">
        <v>154</v>
      </c>
      <c r="M52" s="52" t="s">
        <v>155</v>
      </c>
      <c r="N52" s="53" t="s">
        <v>156</v>
      </c>
      <c r="O52" s="53" t="s">
        <v>157</v>
      </c>
      <c r="P52" s="53" t="s">
        <v>158</v>
      </c>
      <c r="Q52" s="53" t="s">
        <v>159</v>
      </c>
      <c r="R52" s="53" t="s">
        <v>160</v>
      </c>
      <c r="S52" s="53" t="s">
        <v>161</v>
      </c>
      <c r="T52" s="53" t="s">
        <v>162</v>
      </c>
      <c r="U52" s="53" t="s">
        <v>163</v>
      </c>
      <c r="V52" s="53" t="s">
        <v>164</v>
      </c>
      <c r="W52" s="53" t="s">
        <v>165</v>
      </c>
      <c r="X52" s="53" t="s">
        <v>166</v>
      </c>
      <c r="Y52" s="53" t="s">
        <v>167</v>
      </c>
      <c r="Z52" s="53" t="s">
        <v>168</v>
      </c>
      <c r="AA52" s="53" t="s">
        <v>169</v>
      </c>
      <c r="AB52" s="53" t="s">
        <v>170</v>
      </c>
      <c r="AC52" s="53" t="s">
        <v>171</v>
      </c>
      <c r="AD52" s="40" t="s">
        <v>172</v>
      </c>
    </row>
    <row r="53" customFormat="false" ht="15" hidden="false" customHeight="true" outlineLevel="0" collapsed="false">
      <c r="A53" s="54" t="s">
        <v>173</v>
      </c>
      <c r="B53" s="55" t="s">
        <v>174</v>
      </c>
      <c r="C53" s="55" t="s">
        <v>174</v>
      </c>
      <c r="D53" s="55" t="s">
        <v>174</v>
      </c>
      <c r="E53" s="55" t="s">
        <v>174</v>
      </c>
      <c r="F53" s="55" t="s">
        <v>174</v>
      </c>
      <c r="G53" s="55" t="s">
        <v>174</v>
      </c>
      <c r="H53" s="56" t="s">
        <v>175</v>
      </c>
      <c r="I53" s="56" t="s">
        <v>175</v>
      </c>
      <c r="J53" s="56" t="s">
        <v>175</v>
      </c>
      <c r="K53" s="56" t="s">
        <v>175</v>
      </c>
      <c r="L53" s="56" t="s">
        <v>175</v>
      </c>
      <c r="M53" s="56" t="s">
        <v>175</v>
      </c>
      <c r="N53" s="57" t="s">
        <v>176</v>
      </c>
      <c r="O53" s="57" t="s">
        <v>176</v>
      </c>
      <c r="P53" s="57" t="s">
        <v>176</v>
      </c>
      <c r="Q53" s="57" t="s">
        <v>176</v>
      </c>
      <c r="R53" s="57" t="s">
        <v>176</v>
      </c>
      <c r="S53" s="57" t="s">
        <v>176</v>
      </c>
      <c r="T53" s="57" t="s">
        <v>176</v>
      </c>
      <c r="U53" s="57" t="s">
        <v>176</v>
      </c>
      <c r="V53" s="57" t="s">
        <v>176</v>
      </c>
      <c r="W53" s="57" t="s">
        <v>176</v>
      </c>
      <c r="X53" s="57" t="s">
        <v>176</v>
      </c>
      <c r="Y53" s="57" t="s">
        <v>176</v>
      </c>
      <c r="Z53" s="57" t="s">
        <v>176</v>
      </c>
      <c r="AA53" s="57" t="s">
        <v>176</v>
      </c>
      <c r="AB53" s="57" t="s">
        <v>176</v>
      </c>
      <c r="AC53" s="57" t="s">
        <v>176</v>
      </c>
    </row>
    <row r="55" customFormat="false" ht="15" hidden="false" customHeight="true" outlineLevel="0" collapsed="false">
      <c r="A55" s="58" t="s">
        <v>177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</row>
    <row r="56" customFormat="false" ht="15" hidden="false" customHeight="true" outlineLevel="0" collapsed="false">
      <c r="A56" s="59" t="s">
        <v>178</v>
      </c>
      <c r="B56" s="60" t="n">
        <f aca="false">Premissas!$F$7</f>
        <v>800</v>
      </c>
      <c r="C56" s="60" t="n">
        <f aca="false">ROUND(B56*(1+Premissas!$F$8),0)</f>
        <v>920</v>
      </c>
      <c r="D56" s="60" t="n">
        <f aca="false">ROUND(C56*(1+Premissas!$F$8),0)</f>
        <v>1058</v>
      </c>
      <c r="E56" s="60" t="n">
        <f aca="false">ROUND(D56*(1+Premissas!$F$8),0)</f>
        <v>1217</v>
      </c>
      <c r="F56" s="60" t="n">
        <f aca="false">ROUND(E56*(1+Premissas!$F$8),0)</f>
        <v>1400</v>
      </c>
      <c r="G56" s="60" t="n">
        <f aca="false">ROUND(F56*(1+Premissas!$F$8),0)</f>
        <v>1610</v>
      </c>
      <c r="H56" s="60" t="n">
        <f aca="false">ROUND(G56*(1+Premissas!$F$15),0)</f>
        <v>1707</v>
      </c>
      <c r="I56" s="60" t="n">
        <f aca="false">ROUND(H56*(1+Premissas!$F$15),0)</f>
        <v>1809</v>
      </c>
      <c r="J56" s="60" t="n">
        <f aca="false">ROUND(I56*(1+Premissas!$F$15),0)</f>
        <v>1918</v>
      </c>
      <c r="K56" s="60" t="n">
        <f aca="false">ROUND(J56*(1+Premissas!$F$15),0)</f>
        <v>2033</v>
      </c>
      <c r="L56" s="60" t="n">
        <f aca="false">ROUND(K56*(1+Premissas!$F$15),0)</f>
        <v>2155</v>
      </c>
      <c r="M56" s="60" t="n">
        <f aca="false">ROUND(L56*(1+Premissas!$F$15),0)</f>
        <v>2284</v>
      </c>
      <c r="N56" s="60" t="n">
        <f aca="false">ROUND(M56*(1+Premissas!$F$23),0)</f>
        <v>2353</v>
      </c>
      <c r="O56" s="60" t="n">
        <f aca="false">ROUND(N56*(1+Premissas!$F$23),0)</f>
        <v>2424</v>
      </c>
      <c r="P56" s="60" t="n">
        <f aca="false">ROUND(O56*(1+Premissas!$F$23),0)</f>
        <v>2497</v>
      </c>
      <c r="Q56" s="60" t="n">
        <f aca="false">ROUND(P56*(1+Premissas!$F$23),0)</f>
        <v>2572</v>
      </c>
      <c r="R56" s="60" t="n">
        <f aca="false">ROUND(Q56*(1+Premissas!$F$23),0)</f>
        <v>2649</v>
      </c>
      <c r="S56" s="60" t="n">
        <f aca="false">ROUND(R56*(1+Premissas!$F$23),0)</f>
        <v>2728</v>
      </c>
      <c r="T56" s="60" t="n">
        <f aca="false">ROUND(S56*(1+Premissas!$F$23),0)</f>
        <v>2810</v>
      </c>
      <c r="U56" s="60" t="n">
        <f aca="false">ROUND(T56*(1+Premissas!$F$23),0)</f>
        <v>2894</v>
      </c>
      <c r="V56" s="60" t="n">
        <f aca="false">ROUND(U56*(1+Premissas!$F$23),0)</f>
        <v>2981</v>
      </c>
      <c r="W56" s="60" t="n">
        <f aca="false">ROUND(V56*(1+Premissas!$F$23),0)</f>
        <v>3070</v>
      </c>
      <c r="X56" s="60" t="n">
        <f aca="false">ROUND(W56*(1+Premissas!$F$23),0)</f>
        <v>3162</v>
      </c>
      <c r="Y56" s="60" t="n">
        <f aca="false">ROUND(X56*(1+Premissas!$F$23),0)</f>
        <v>3257</v>
      </c>
      <c r="Z56" s="60" t="n">
        <f aca="false">ROUND(Y56*(1+Premissas!$F$23),0)</f>
        <v>3355</v>
      </c>
      <c r="AA56" s="60" t="n">
        <f aca="false">ROUND(Z56*(1+Premissas!$F$23),0)</f>
        <v>3456</v>
      </c>
      <c r="AB56" s="60" t="n">
        <f aca="false">ROUND(AA56*(1+Premissas!$F$23),0)</f>
        <v>3560</v>
      </c>
      <c r="AC56" s="60" t="n">
        <f aca="false">ROUND(AB56*(1+Premissas!$F$23),0)</f>
        <v>3667</v>
      </c>
      <c r="AD56" s="61" t="n">
        <f aca="false">ROUND(AVERAGE(B56:AC56),0)</f>
        <v>2370</v>
      </c>
    </row>
    <row r="57" customFormat="false" ht="15" hidden="false" customHeight="true" outlineLevel="0" collapsed="false">
      <c r="A57" s="59" t="s">
        <v>179</v>
      </c>
      <c r="B57" s="60" t="n">
        <v>0</v>
      </c>
      <c r="C57" s="60" t="n">
        <v>0</v>
      </c>
      <c r="D57" s="60" t="n">
        <v>0</v>
      </c>
      <c r="E57" s="60" t="n">
        <v>0</v>
      </c>
      <c r="F57" s="60" t="n">
        <v>0</v>
      </c>
      <c r="G57" s="60" t="n">
        <v>0</v>
      </c>
      <c r="H57" s="60" t="n">
        <f aca="false">Premissas!$F$16</f>
        <v>5</v>
      </c>
      <c r="I57" s="60" t="n">
        <f aca="false">ROUND(H57*(1+Premissas!$F$17),0)</f>
        <v>6</v>
      </c>
      <c r="J57" s="60" t="n">
        <f aca="false">ROUND(I57*(1+Premissas!$F$17),0)</f>
        <v>7</v>
      </c>
      <c r="K57" s="60" t="n">
        <f aca="false">ROUND(J57*(1+Premissas!$F$17),0)</f>
        <v>8</v>
      </c>
      <c r="L57" s="60" t="n">
        <f aca="false">ROUND(K57*(1+Premissas!$F$17),0)</f>
        <v>9</v>
      </c>
      <c r="M57" s="60" t="n">
        <f aca="false">ROUND(L57*(1+Premissas!$F$17),0)</f>
        <v>10</v>
      </c>
      <c r="N57" s="60" t="n">
        <f aca="false">ROUND(M57*(1+Premissas!$F$17),0)</f>
        <v>11</v>
      </c>
      <c r="O57" s="60" t="n">
        <f aca="false">ROUND(N57*(1+Premissas!$F$17),0)</f>
        <v>12</v>
      </c>
      <c r="P57" s="60" t="n">
        <f aca="false">ROUND(O57*(1+Premissas!$F$17),0)</f>
        <v>13</v>
      </c>
      <c r="Q57" s="60" t="n">
        <f aca="false">ROUND(P57*(1+Premissas!$F$17),0)</f>
        <v>14</v>
      </c>
      <c r="R57" s="60" t="n">
        <f aca="false">ROUND(Q57*(1+Premissas!$F$17),0)</f>
        <v>15</v>
      </c>
      <c r="S57" s="60" t="n">
        <f aca="false">ROUND(R57*(1+Premissas!$F$17),0)</f>
        <v>17</v>
      </c>
      <c r="T57" s="60" t="n">
        <f aca="false">ROUND(S57*(1+Premissas!$F$17),0)</f>
        <v>19</v>
      </c>
      <c r="U57" s="60" t="n">
        <f aca="false">ROUND(T57*(1+Premissas!$F$17),0)</f>
        <v>21</v>
      </c>
      <c r="V57" s="60" t="n">
        <f aca="false">ROUND(U57*(1+Premissas!$F$17),0)</f>
        <v>23</v>
      </c>
      <c r="W57" s="60" t="n">
        <f aca="false">ROUND(V57*(1+Premissas!$F$17),0)</f>
        <v>25</v>
      </c>
      <c r="X57" s="60" t="n">
        <f aca="false">ROUND(W57*(1+Premissas!$F$17),0)</f>
        <v>28</v>
      </c>
      <c r="Y57" s="60" t="n">
        <f aca="false">ROUND(X57*(1+Premissas!$F$17),0)</f>
        <v>31</v>
      </c>
      <c r="Z57" s="60" t="n">
        <f aca="false">ROUND(Y57*(1+Premissas!$F$17),0)</f>
        <v>34</v>
      </c>
      <c r="AA57" s="60" t="n">
        <f aca="false">ROUND(Z57*(1+Premissas!$F$17),0)</f>
        <v>37</v>
      </c>
      <c r="AB57" s="60" t="n">
        <f aca="false">ROUND(AA57*(1+Premissas!$F$17),0)</f>
        <v>41</v>
      </c>
      <c r="AC57" s="60" t="n">
        <f aca="false">ROUND(AB57*(1+Premissas!$F$17),0)</f>
        <v>45</v>
      </c>
      <c r="AD57" s="61" t="n">
        <f aca="false">ROUND(AVERAGE(N57:AC57),0)</f>
        <v>24</v>
      </c>
    </row>
    <row r="58" customFormat="false" ht="15" hidden="false" customHeight="true" outlineLevel="0" collapsed="false">
      <c r="A58" s="59" t="s">
        <v>180</v>
      </c>
      <c r="B58" s="60" t="n">
        <v>0</v>
      </c>
      <c r="C58" s="60" t="n">
        <v>0</v>
      </c>
      <c r="D58" s="60" t="n">
        <v>0</v>
      </c>
      <c r="E58" s="60" t="n">
        <v>0</v>
      </c>
      <c r="F58" s="60" t="n">
        <v>0</v>
      </c>
      <c r="G58" s="60" t="n">
        <v>0</v>
      </c>
      <c r="H58" s="60" t="n">
        <v>0</v>
      </c>
      <c r="I58" s="60" t="n">
        <v>0</v>
      </c>
      <c r="J58" s="60" t="n">
        <v>0</v>
      </c>
      <c r="K58" s="60" t="n">
        <v>0</v>
      </c>
      <c r="L58" s="60" t="n">
        <v>0</v>
      </c>
      <c r="M58" s="60" t="n">
        <v>0</v>
      </c>
      <c r="N58" s="60" t="n">
        <f aca="false">Premissas!$F$24</f>
        <v>8</v>
      </c>
      <c r="O58" s="60" t="n">
        <f aca="false">ROUND(N58*(1+Premissas!$F$25)*(1-Premissas!$F$26),0)</f>
        <v>7</v>
      </c>
      <c r="P58" s="60" t="n">
        <f aca="false">ROUND(O58*(1+Premissas!$F$25)*(1-Premissas!$F$26),0)</f>
        <v>7</v>
      </c>
      <c r="Q58" s="60" t="n">
        <f aca="false">ROUND(P58*(1+Premissas!$F$25)*(1-Premissas!$F$26),0)</f>
        <v>7</v>
      </c>
      <c r="R58" s="60" t="n">
        <f aca="false">ROUND(Q58*(1+Premissas!$F$25)*(1-Premissas!$F$26),0)</f>
        <v>7</v>
      </c>
      <c r="S58" s="60" t="n">
        <f aca="false">ROUND(R58*(1+Premissas!$F$25)*(1-Premissas!$F$26),0)</f>
        <v>7</v>
      </c>
      <c r="T58" s="60" t="n">
        <f aca="false">ROUND(S58*(1+Premissas!$F$25)*(1-Premissas!$F$26),0)</f>
        <v>7</v>
      </c>
      <c r="U58" s="60" t="n">
        <f aca="false">ROUND(T58*(1+Premissas!$F$25)*(1-Premissas!$F$26),0)</f>
        <v>7</v>
      </c>
      <c r="V58" s="60" t="n">
        <f aca="false">ROUND(U58*(1+Premissas!$F$25)*(1-Premissas!$F$26),0)</f>
        <v>7</v>
      </c>
      <c r="W58" s="60" t="n">
        <f aca="false">ROUND(V58*(1+Premissas!$F$25)*(1-Premissas!$F$26),0)</f>
        <v>7</v>
      </c>
      <c r="X58" s="60" t="n">
        <f aca="false">ROUND(W58*(1+Premissas!$F$25)*(1-Premissas!$F$26),0)</f>
        <v>7</v>
      </c>
      <c r="Y58" s="60" t="n">
        <f aca="false">ROUND(X58*(1+Premissas!$F$25)*(1-Premissas!$F$26),0)</f>
        <v>7</v>
      </c>
      <c r="Z58" s="60" t="n">
        <f aca="false">ROUND(Y58*(1+Premissas!$F$25)*(1-Premissas!$F$26),0)</f>
        <v>7</v>
      </c>
      <c r="AA58" s="60" t="n">
        <f aca="false">ROUND(Z58*(1+Premissas!$F$25)*(1-Premissas!$F$26),0)</f>
        <v>7</v>
      </c>
      <c r="AB58" s="60" t="n">
        <f aca="false">ROUND(AA58*(1+Premissas!$F$25)*(1-Premissas!$F$26),0)</f>
        <v>7</v>
      </c>
      <c r="AC58" s="60" t="n">
        <f aca="false">ROUND(AB58*(1+Premissas!$F$25)*(1-Premissas!$F$26),0)</f>
        <v>7</v>
      </c>
      <c r="AD58" s="61" t="n">
        <f aca="false">ROUND(AVERAGE(N58:AC58),0)</f>
        <v>7</v>
      </c>
    </row>
    <row r="60" customFormat="false" ht="15" hidden="false" customHeight="true" outlineLevel="0" collapsed="false">
      <c r="A60" s="58" t="s">
        <v>181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</row>
    <row r="61" customFormat="false" ht="15" hidden="false" customHeight="true" outlineLevel="0" collapsed="false">
      <c r="A61" s="62" t="s">
        <v>182</v>
      </c>
      <c r="B61" s="63" t="n">
        <f aca="false">B56*Premissas!$F$9*Premissas!$F$10*Premissas!$F$11*Premissas!$F$12</f>
        <v>6.6</v>
      </c>
      <c r="C61" s="63" t="n">
        <f aca="false">C56*Premissas!$F$9*Premissas!$F$10*Premissas!$F$11*Premissas!$F$12</f>
        <v>7.59</v>
      </c>
      <c r="D61" s="63" t="n">
        <f aca="false">D56*Premissas!$F$9*Premissas!$F$10*Premissas!$F$11*Premissas!$F$12</f>
        <v>8.7285</v>
      </c>
      <c r="E61" s="63" t="n">
        <f aca="false">E56*Premissas!$F$9*Premissas!$F$10*Premissas!$F$11*Premissas!$F$12</f>
        <v>10.04025</v>
      </c>
      <c r="F61" s="63" t="n">
        <f aca="false">F56*Premissas!$F$9*Premissas!$F$10*Premissas!$F$11*Premissas!$F$12</f>
        <v>11.55</v>
      </c>
      <c r="G61" s="63" t="n">
        <f aca="false">G56*Premissas!$F$9*Premissas!$F$10*Premissas!$F$11*Premissas!$F$12</f>
        <v>13.2825</v>
      </c>
      <c r="H61" s="63" t="n">
        <f aca="false">H56*Premissas!$F$9*Premissas!$F$10*Premissas!$F$11*Premissas!$F$12</f>
        <v>14.08275</v>
      </c>
      <c r="I61" s="63" t="n">
        <f aca="false">I56*Premissas!$F$9*Premissas!$F$10*Premissas!$F$11*Premissas!$F$12</f>
        <v>14.92425</v>
      </c>
      <c r="J61" s="63" t="n">
        <f aca="false">J56*Premissas!$F$9*Premissas!$F$10*Premissas!$F$11*Premissas!$F$12</f>
        <v>15.8235</v>
      </c>
      <c r="K61" s="63" t="n">
        <f aca="false">K56*Premissas!$F$9*Premissas!$F$10*Premissas!$F$11*Premissas!$F$12</f>
        <v>16.77225</v>
      </c>
      <c r="L61" s="63" t="n">
        <f aca="false">L56*Premissas!$F$9*Premissas!$F$10*Premissas!$F$11*Premissas!$F$12</f>
        <v>17.77875</v>
      </c>
      <c r="M61" s="63" t="n">
        <f aca="false">M56*Premissas!$F$9*Premissas!$F$10*Premissas!$F$11*Premissas!$F$12</f>
        <v>18.843</v>
      </c>
      <c r="N61" s="63" t="n">
        <f aca="false">N56*Premissas!$F$9*Premissas!$F$10*Premissas!$F$11*Premissas!$F$12</f>
        <v>19.41225</v>
      </c>
      <c r="O61" s="63" t="n">
        <f aca="false">O56*Premissas!$F$9*Premissas!$F$10*Premissas!$F$11*Premissas!$F$12</f>
        <v>19.998</v>
      </c>
      <c r="P61" s="63" t="n">
        <f aca="false">P56*Premissas!$F$9*Premissas!$F$10*Premissas!$F$11*Premissas!$F$12</f>
        <v>20.60025</v>
      </c>
      <c r="Q61" s="63" t="n">
        <f aca="false">Q56*Premissas!$F$9*Premissas!$F$10*Premissas!$F$11*Premissas!$F$12</f>
        <v>21.219</v>
      </c>
      <c r="R61" s="63" t="n">
        <f aca="false">R56*Premissas!$F$9*Premissas!$F$10*Premissas!$F$11*Premissas!$F$12</f>
        <v>21.85425</v>
      </c>
      <c r="S61" s="63" t="n">
        <f aca="false">S56*Premissas!$F$9*Premissas!$F$10*Premissas!$F$11*Premissas!$F$12</f>
        <v>22.506</v>
      </c>
      <c r="T61" s="63" t="n">
        <f aca="false">T56*Premissas!$F$9*Premissas!$F$10*Premissas!$F$11*Premissas!$F$12</f>
        <v>23.1825</v>
      </c>
      <c r="U61" s="63" t="n">
        <f aca="false">U56*Premissas!$F$9*Premissas!$F$10*Premissas!$F$11*Premissas!$F$12</f>
        <v>23.8755</v>
      </c>
      <c r="V61" s="63" t="n">
        <f aca="false">V56*Premissas!$F$9*Premissas!$F$10*Premissas!$F$11*Premissas!$F$12</f>
        <v>24.59325</v>
      </c>
      <c r="W61" s="63" t="n">
        <f aca="false">W56*Premissas!$F$9*Premissas!$F$10*Premissas!$F$11*Premissas!$F$12</f>
        <v>25.3275</v>
      </c>
      <c r="X61" s="63" t="n">
        <f aca="false">X56*Premissas!$F$9*Premissas!$F$10*Premissas!$F$11*Premissas!$F$12</f>
        <v>26.0865</v>
      </c>
      <c r="Y61" s="63" t="n">
        <f aca="false">Y56*Premissas!$F$9*Premissas!$F$10*Premissas!$F$11*Premissas!$F$12</f>
        <v>26.87025</v>
      </c>
      <c r="Z61" s="63" t="n">
        <f aca="false">Z56*Premissas!$F$9*Premissas!$F$10*Premissas!$F$11*Premissas!$F$12</f>
        <v>27.67875</v>
      </c>
      <c r="AA61" s="63" t="n">
        <f aca="false">AA56*Premissas!$F$9*Premissas!$F$10*Premissas!$F$11*Premissas!$F$12</f>
        <v>28.512</v>
      </c>
      <c r="AB61" s="63" t="n">
        <f aca="false">AB56*Premissas!$F$9*Premissas!$F$10*Premissas!$F$11*Premissas!$F$12</f>
        <v>29.37</v>
      </c>
      <c r="AC61" s="63" t="n">
        <f aca="false">AC56*Premissas!$F$9*Premissas!$F$10*Premissas!$F$11*Premissas!$F$12</f>
        <v>30.25275</v>
      </c>
      <c r="AD61" s="64" t="n">
        <f aca="false">SUM(B61:AC61)</f>
        <v>547.3545</v>
      </c>
    </row>
    <row r="62" customFormat="false" ht="15" hidden="false" customHeight="true" outlineLevel="0" collapsed="false">
      <c r="A62" s="65" t="s">
        <v>183</v>
      </c>
      <c r="B62" s="63" t="n">
        <f aca="false">B57*Premissas!$F$18*Premissas!$F$19*Premissas!$F$20</f>
        <v>0</v>
      </c>
      <c r="C62" s="63" t="n">
        <f aca="false">C57*Premissas!$F$18*Premissas!$F$19*Premissas!$F$20</f>
        <v>0</v>
      </c>
      <c r="D62" s="63" t="n">
        <f aca="false">D57*Premissas!$F$18*Premissas!$F$19*Premissas!$F$20</f>
        <v>0</v>
      </c>
      <c r="E62" s="63" t="n">
        <f aca="false">E57*Premissas!$F$18*Premissas!$F$19*Premissas!$F$20</f>
        <v>0</v>
      </c>
      <c r="F62" s="63" t="n">
        <f aca="false">F57*Premissas!$F$18*Premissas!$F$19*Premissas!$F$20</f>
        <v>0</v>
      </c>
      <c r="G62" s="63" t="n">
        <f aca="false">G57*Premissas!$F$18*Premissas!$F$19*Premissas!$F$20</f>
        <v>0</v>
      </c>
      <c r="H62" s="63" t="n">
        <f aca="false">H57*Premissas!$F$18*Premissas!$F$19*Premissas!$F$20</f>
        <v>195</v>
      </c>
      <c r="I62" s="63" t="n">
        <f aca="false">I57*Premissas!$F$18*Premissas!$F$19*Premissas!$F$20</f>
        <v>234</v>
      </c>
      <c r="J62" s="63" t="n">
        <f aca="false">J57*Premissas!$F$18*Premissas!$F$19*Premissas!$F$20</f>
        <v>273</v>
      </c>
      <c r="K62" s="63" t="n">
        <f aca="false">K57*Premissas!$F$18*Premissas!$F$19*Premissas!$F$20</f>
        <v>312</v>
      </c>
      <c r="L62" s="63" t="n">
        <f aca="false">L57*Premissas!$F$18*Premissas!$F$19*Premissas!$F$20</f>
        <v>351</v>
      </c>
      <c r="M62" s="63" t="n">
        <f aca="false">M57*Premissas!$F$18*Premissas!$F$19*Premissas!$F$20</f>
        <v>390</v>
      </c>
      <c r="N62" s="63" t="n">
        <f aca="false">N57*Premissas!$F$18*Premissas!$F$19*Premissas!$F$20</f>
        <v>429</v>
      </c>
      <c r="O62" s="63" t="n">
        <f aca="false">O57*Premissas!$F$18*Premissas!$F$19*Premissas!$F$20</f>
        <v>468</v>
      </c>
      <c r="P62" s="63" t="n">
        <f aca="false">P57*Premissas!$F$18*Premissas!$F$19*Premissas!$F$20</f>
        <v>507</v>
      </c>
      <c r="Q62" s="63" t="n">
        <f aca="false">Q57*Premissas!$F$18*Premissas!$F$19*Premissas!$F$20</f>
        <v>546</v>
      </c>
      <c r="R62" s="63" t="n">
        <f aca="false">R57*Premissas!$F$18*Premissas!$F$19*Premissas!$F$20</f>
        <v>585</v>
      </c>
      <c r="S62" s="63" t="n">
        <f aca="false">S57*Premissas!$F$18*Premissas!$F$19*Premissas!$F$20</f>
        <v>663</v>
      </c>
      <c r="T62" s="63" t="n">
        <f aca="false">T57*Premissas!$F$18*Premissas!$F$19*Premissas!$F$20</f>
        <v>741</v>
      </c>
      <c r="U62" s="63" t="n">
        <f aca="false">U57*Premissas!$F$18*Premissas!$F$19*Premissas!$F$20</f>
        <v>819</v>
      </c>
      <c r="V62" s="63" t="n">
        <f aca="false">V57*Premissas!$F$18*Premissas!$F$19*Premissas!$F$20</f>
        <v>897</v>
      </c>
      <c r="W62" s="63" t="n">
        <f aca="false">W57*Premissas!$F$18*Premissas!$F$19*Premissas!$F$20</f>
        <v>975</v>
      </c>
      <c r="X62" s="63" t="n">
        <f aca="false">X57*Premissas!$F$18*Premissas!$F$19*Premissas!$F$20</f>
        <v>1092</v>
      </c>
      <c r="Y62" s="63" t="n">
        <f aca="false">Y57*Premissas!$F$18*Premissas!$F$19*Premissas!$F$20</f>
        <v>1209</v>
      </c>
      <c r="Z62" s="63" t="n">
        <f aca="false">Z57*Premissas!$F$18*Premissas!$F$19*Premissas!$F$20</f>
        <v>1326</v>
      </c>
      <c r="AA62" s="63" t="n">
        <f aca="false">AA57*Premissas!$F$18*Premissas!$F$19*Premissas!$F$20</f>
        <v>1443</v>
      </c>
      <c r="AB62" s="63" t="n">
        <f aca="false">AB57*Premissas!$F$18*Premissas!$F$19*Premissas!$F$20</f>
        <v>1599</v>
      </c>
      <c r="AC62" s="63" t="n">
        <f aca="false">AC57*Premissas!$F$18*Premissas!$F$19*Premissas!$F$20</f>
        <v>1755</v>
      </c>
      <c r="AD62" s="64" t="n">
        <f aca="false">SUM(B62:AC62)</f>
        <v>16809</v>
      </c>
    </row>
    <row r="63" customFormat="false" ht="15" hidden="false" customHeight="true" outlineLevel="0" collapsed="false">
      <c r="A63" s="66" t="s">
        <v>184</v>
      </c>
      <c r="B63" s="63" t="n">
        <f aca="false">B58*Premissas!$F$27</f>
        <v>0</v>
      </c>
      <c r="C63" s="63" t="n">
        <f aca="false">C58*Premissas!$F$27</f>
        <v>0</v>
      </c>
      <c r="D63" s="63" t="n">
        <f aca="false">D58*Premissas!$F$27</f>
        <v>0</v>
      </c>
      <c r="E63" s="63" t="n">
        <f aca="false">E58*Premissas!$F$27</f>
        <v>0</v>
      </c>
      <c r="F63" s="63" t="n">
        <f aca="false">F58*Premissas!$F$27</f>
        <v>0</v>
      </c>
      <c r="G63" s="63" t="n">
        <f aca="false">G58*Premissas!$F$27</f>
        <v>0</v>
      </c>
      <c r="H63" s="63" t="n">
        <f aca="false">H58*Premissas!$F$27</f>
        <v>0</v>
      </c>
      <c r="I63" s="63" t="n">
        <f aca="false">I58*Premissas!$F$27</f>
        <v>0</v>
      </c>
      <c r="J63" s="63" t="n">
        <f aca="false">J58*Premissas!$F$27</f>
        <v>0</v>
      </c>
      <c r="K63" s="63" t="n">
        <f aca="false">K58*Premissas!$F$27</f>
        <v>0</v>
      </c>
      <c r="L63" s="63" t="n">
        <f aca="false">L58*Premissas!$F$27</f>
        <v>0</v>
      </c>
      <c r="M63" s="63" t="n">
        <f aca="false">M58*Premissas!$F$27</f>
        <v>0</v>
      </c>
      <c r="N63" s="63" t="n">
        <f aca="false">N58*Premissas!$F$27</f>
        <v>552</v>
      </c>
      <c r="O63" s="63" t="n">
        <f aca="false">O58*Premissas!$F$27</f>
        <v>483</v>
      </c>
      <c r="P63" s="63" t="n">
        <f aca="false">P58*Premissas!$F$27</f>
        <v>483</v>
      </c>
      <c r="Q63" s="63" t="n">
        <f aca="false">Q58*Premissas!$F$27</f>
        <v>483</v>
      </c>
      <c r="R63" s="63" t="n">
        <f aca="false">R58*Premissas!$F$27</f>
        <v>483</v>
      </c>
      <c r="S63" s="63" t="n">
        <f aca="false">S58*Premissas!$F$27</f>
        <v>483</v>
      </c>
      <c r="T63" s="63" t="n">
        <f aca="false">T58*Premissas!$F$27</f>
        <v>483</v>
      </c>
      <c r="U63" s="63" t="n">
        <f aca="false">U58*Premissas!$F$27</f>
        <v>483</v>
      </c>
      <c r="V63" s="63" t="n">
        <f aca="false">V58*Premissas!$F$27</f>
        <v>483</v>
      </c>
      <c r="W63" s="63" t="n">
        <f aca="false">W58*Premissas!$F$27</f>
        <v>483</v>
      </c>
      <c r="X63" s="63" t="n">
        <f aca="false">X58*Premissas!$F$27</f>
        <v>483</v>
      </c>
      <c r="Y63" s="63" t="n">
        <f aca="false">Y58*Premissas!$F$27</f>
        <v>483</v>
      </c>
      <c r="Z63" s="63" t="n">
        <f aca="false">Z58*Premissas!$F$27</f>
        <v>483</v>
      </c>
      <c r="AA63" s="63" t="n">
        <f aca="false">AA58*Premissas!$F$27</f>
        <v>483</v>
      </c>
      <c r="AB63" s="63" t="n">
        <f aca="false">AB58*Premissas!$F$27</f>
        <v>483</v>
      </c>
      <c r="AC63" s="63" t="n">
        <f aca="false">AC58*Premissas!$F$27</f>
        <v>483</v>
      </c>
      <c r="AD63" s="64" t="n">
        <f aca="false">SUM(B63:AC63)</f>
        <v>7797</v>
      </c>
    </row>
    <row r="64" customFormat="false" ht="15" hidden="false" customHeight="true" outlineLevel="0" collapsed="false">
      <c r="A64" s="67" t="s">
        <v>185</v>
      </c>
      <c r="B64" s="44" t="n">
        <f aca="false">B61+B62+B63</f>
        <v>6.6</v>
      </c>
      <c r="C64" s="44" t="n">
        <f aca="false">C61+C62+C63</f>
        <v>7.59</v>
      </c>
      <c r="D64" s="44" t="n">
        <f aca="false">D61+D62+D63</f>
        <v>8.7285</v>
      </c>
      <c r="E64" s="44" t="n">
        <f aca="false">E61+E62+E63</f>
        <v>10.04025</v>
      </c>
      <c r="F64" s="44" t="n">
        <f aca="false">F61+F62+F63</f>
        <v>11.55</v>
      </c>
      <c r="G64" s="44" t="n">
        <f aca="false">G61+G62+G63</f>
        <v>13.2825</v>
      </c>
      <c r="H64" s="44" t="n">
        <f aca="false">H61+H62+H63</f>
        <v>209.08275</v>
      </c>
      <c r="I64" s="44" t="n">
        <f aca="false">I61+I62+I63</f>
        <v>248.92425</v>
      </c>
      <c r="J64" s="44" t="n">
        <f aca="false">J61+J62+J63</f>
        <v>288.8235</v>
      </c>
      <c r="K64" s="44" t="n">
        <f aca="false">K61+K62+K63</f>
        <v>328.77225</v>
      </c>
      <c r="L64" s="44" t="n">
        <f aca="false">L61+L62+L63</f>
        <v>368.77875</v>
      </c>
      <c r="M64" s="44" t="n">
        <f aca="false">M61+M62+M63</f>
        <v>408.843</v>
      </c>
      <c r="N64" s="44" t="n">
        <f aca="false">N61+N62+N63</f>
        <v>1000.41225</v>
      </c>
      <c r="O64" s="44" t="n">
        <f aca="false">O61+O62+O63</f>
        <v>970.998</v>
      </c>
      <c r="P64" s="44" t="n">
        <f aca="false">P61+P62+P63</f>
        <v>1010.60025</v>
      </c>
      <c r="Q64" s="44" t="n">
        <f aca="false">Q61+Q62+Q63</f>
        <v>1050.219</v>
      </c>
      <c r="R64" s="44" t="n">
        <f aca="false">R61+R62+R63</f>
        <v>1089.85425</v>
      </c>
      <c r="S64" s="44" t="n">
        <f aca="false">S61+S62+S63</f>
        <v>1168.506</v>
      </c>
      <c r="T64" s="44" t="n">
        <f aca="false">T61+T62+T63</f>
        <v>1247.1825</v>
      </c>
      <c r="U64" s="44" t="n">
        <f aca="false">U61+U62+U63</f>
        <v>1325.8755</v>
      </c>
      <c r="V64" s="44" t="n">
        <f aca="false">V61+V62+V63</f>
        <v>1404.59325</v>
      </c>
      <c r="W64" s="44" t="n">
        <f aca="false">W61+W62+W63</f>
        <v>1483.3275</v>
      </c>
      <c r="X64" s="44" t="n">
        <f aca="false">X61+X62+X63</f>
        <v>1601.0865</v>
      </c>
      <c r="Y64" s="44" t="n">
        <f aca="false">Y61+Y62+Y63</f>
        <v>1718.87025</v>
      </c>
      <c r="Z64" s="44" t="n">
        <f aca="false">Z61+Z62+Z63</f>
        <v>1836.67875</v>
      </c>
      <c r="AA64" s="44" t="n">
        <f aca="false">AA61+AA62+AA63</f>
        <v>1954.512</v>
      </c>
      <c r="AB64" s="44" t="n">
        <f aca="false">AB61+AB62+AB63</f>
        <v>2111.37</v>
      </c>
      <c r="AC64" s="44" t="n">
        <f aca="false">AC61+AC62+AC63</f>
        <v>2268.25275</v>
      </c>
      <c r="AD64" s="44" t="n">
        <f aca="false">SUM(B64:AC64)</f>
        <v>25153.3545</v>
      </c>
    </row>
    <row r="66" customFormat="false" ht="15" hidden="false" customHeight="true" outlineLevel="0" collapsed="false">
      <c r="A66" s="58" t="s">
        <v>186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</row>
    <row r="67" customFormat="false" ht="15" hidden="false" customHeight="true" outlineLevel="0" collapsed="false">
      <c r="A67" s="59" t="s">
        <v>187</v>
      </c>
      <c r="B67" s="68" t="n">
        <f aca="false">-Premissas!$C$41</f>
        <v>-1800</v>
      </c>
      <c r="C67" s="68" t="n">
        <f aca="false">-Premissas!$C$41</f>
        <v>-1800</v>
      </c>
      <c r="D67" s="68" t="n">
        <f aca="false">-Premissas!$C$41</f>
        <v>-1800</v>
      </c>
      <c r="E67" s="68" t="n">
        <f aca="false">-Premissas!$C$41</f>
        <v>-1800</v>
      </c>
      <c r="F67" s="68" t="n">
        <f aca="false">-Premissas!$C$41</f>
        <v>-1800</v>
      </c>
      <c r="G67" s="68" t="n">
        <f aca="false">-Premissas!$C$41</f>
        <v>-1800</v>
      </c>
      <c r="H67" s="68" t="n">
        <f aca="false">-Premissas!$D$41</f>
        <v>-14000</v>
      </c>
      <c r="I67" s="68" t="n">
        <f aca="false">-Premissas!$D$41</f>
        <v>-14000</v>
      </c>
      <c r="J67" s="68" t="n">
        <f aca="false">-Premissas!$D$41</f>
        <v>-14000</v>
      </c>
      <c r="K67" s="68" t="n">
        <f aca="false">-Premissas!$D$41</f>
        <v>-14000</v>
      </c>
      <c r="L67" s="68" t="n">
        <f aca="false">-Premissas!$D$41</f>
        <v>-14000</v>
      </c>
      <c r="M67" s="68" t="n">
        <f aca="false">-Premissas!$D$41</f>
        <v>-14000</v>
      </c>
      <c r="N67" s="68" t="n">
        <f aca="false">-Premissas!$E$41</f>
        <v>-35500</v>
      </c>
      <c r="O67" s="68" t="n">
        <f aca="false">-Premissas!$E$41</f>
        <v>-35500</v>
      </c>
      <c r="P67" s="68" t="n">
        <f aca="false">-Premissas!$E$41</f>
        <v>-35500</v>
      </c>
      <c r="Q67" s="68" t="n">
        <f aca="false">-Premissas!$E$41</f>
        <v>-35500</v>
      </c>
      <c r="R67" s="68" t="n">
        <f aca="false">-Premissas!$E$41</f>
        <v>-35500</v>
      </c>
      <c r="S67" s="68" t="n">
        <f aca="false">-Premissas!$E$41</f>
        <v>-35500</v>
      </c>
      <c r="T67" s="68" t="n">
        <f aca="false">-Premissas!$E$41</f>
        <v>-35500</v>
      </c>
      <c r="U67" s="68" t="n">
        <f aca="false">-Premissas!$E$41</f>
        <v>-35500</v>
      </c>
      <c r="V67" s="68" t="n">
        <f aca="false">-Premissas!$E$41</f>
        <v>-35500</v>
      </c>
      <c r="W67" s="68" t="n">
        <f aca="false">-Premissas!$E$41</f>
        <v>-35500</v>
      </c>
      <c r="X67" s="68" t="n">
        <f aca="false">-Premissas!$E$41</f>
        <v>-35500</v>
      </c>
      <c r="Y67" s="68" t="n">
        <f aca="false">-Premissas!$E$41</f>
        <v>-35500</v>
      </c>
      <c r="Z67" s="68" t="n">
        <f aca="false">-Premissas!$E$41</f>
        <v>-35500</v>
      </c>
      <c r="AA67" s="68" t="n">
        <f aca="false">-Premissas!$E$41</f>
        <v>-35500</v>
      </c>
      <c r="AB67" s="68" t="n">
        <f aca="false">-Premissas!$E$41</f>
        <v>-35500</v>
      </c>
      <c r="AC67" s="68" t="n">
        <f aca="false">-Premissas!$E$41</f>
        <v>-35500</v>
      </c>
      <c r="AD67" s="64" t="n">
        <f aca="false">SUM(B67:AC67)</f>
        <v>-662800</v>
      </c>
    </row>
    <row r="68" customFormat="false" ht="15" hidden="false" customHeight="true" outlineLevel="0" collapsed="false">
      <c r="A68" s="59" t="s">
        <v>188</v>
      </c>
      <c r="B68" s="63" t="n">
        <f aca="false">-B64*(Premissas!$C$44+Premissas!$C$45+Premissas!$C$46)</f>
        <v>-0.4389</v>
      </c>
      <c r="C68" s="63" t="n">
        <f aca="false">-C64*(Premissas!$C$44+Premissas!$C$45+Premissas!$C$46)</f>
        <v>-0.504735</v>
      </c>
      <c r="D68" s="63" t="n">
        <f aca="false">-D64*(Premissas!$C$44+Premissas!$C$45+Premissas!$C$46)</f>
        <v>-0.58044525</v>
      </c>
      <c r="E68" s="63" t="n">
        <f aca="false">-E64*(Premissas!$C$44+Premissas!$C$45+Premissas!$C$46)</f>
        <v>-0.667676625</v>
      </c>
      <c r="F68" s="63" t="n">
        <f aca="false">-F64*(Premissas!$C$44+Premissas!$C$45+Premissas!$C$46)</f>
        <v>-0.768075</v>
      </c>
      <c r="G68" s="63" t="n">
        <f aca="false">-G64*(Premissas!$C$44+Premissas!$C$45+Premissas!$C$46)</f>
        <v>-0.88328625</v>
      </c>
      <c r="H68" s="63" t="n">
        <f aca="false">-H64*(Premissas!$C$44+Premissas!$C$45+Premissas!$C$46)</f>
        <v>-13.904002875</v>
      </c>
      <c r="I68" s="63" t="n">
        <f aca="false">-I64*(Premissas!$C$44+Premissas!$C$45+Premissas!$C$46)</f>
        <v>-16.553462625</v>
      </c>
      <c r="J68" s="63" t="n">
        <f aca="false">-J64*(Premissas!$C$44+Premissas!$C$45+Premissas!$C$46)</f>
        <v>-19.20676275</v>
      </c>
      <c r="K68" s="63" t="n">
        <f aca="false">-K64*(Premissas!$C$44+Premissas!$C$45+Premissas!$C$46)</f>
        <v>-21.863354625</v>
      </c>
      <c r="L68" s="63" t="n">
        <f aca="false">-L64*(Premissas!$C$44+Premissas!$C$45+Premissas!$C$46)</f>
        <v>-24.523786875</v>
      </c>
      <c r="M68" s="63" t="n">
        <f aca="false">-M64*(Premissas!$C$44+Premissas!$C$45+Premissas!$C$46)</f>
        <v>-27.1880595</v>
      </c>
      <c r="N68" s="63" t="n">
        <f aca="false">-N64*(Premissas!$C$44+Premissas!$C$45+Premissas!$C$46)</f>
        <v>-66.527414625</v>
      </c>
      <c r="O68" s="63" t="n">
        <f aca="false">-O64*(Premissas!$C$44+Premissas!$C$45+Premissas!$C$46)</f>
        <v>-64.571367</v>
      </c>
      <c r="P68" s="63" t="n">
        <f aca="false">-P64*(Premissas!$C$44+Premissas!$C$45+Premissas!$C$46)</f>
        <v>-67.204916625</v>
      </c>
      <c r="Q68" s="63" t="n">
        <f aca="false">-Q64*(Premissas!$C$44+Premissas!$C$45+Premissas!$C$46)</f>
        <v>-69.8395635</v>
      </c>
      <c r="R68" s="63" t="n">
        <f aca="false">-R64*(Premissas!$C$44+Premissas!$C$45+Premissas!$C$46)</f>
        <v>-72.475307625</v>
      </c>
      <c r="S68" s="63" t="n">
        <f aca="false">-S64*(Premissas!$C$44+Premissas!$C$45+Premissas!$C$46)</f>
        <v>-77.705649</v>
      </c>
      <c r="T68" s="63" t="n">
        <f aca="false">-T64*(Premissas!$C$44+Premissas!$C$45+Premissas!$C$46)</f>
        <v>-82.93763625</v>
      </c>
      <c r="U68" s="63" t="n">
        <f aca="false">-U64*(Premissas!$C$44+Premissas!$C$45+Premissas!$C$46)</f>
        <v>-88.17072075</v>
      </c>
      <c r="V68" s="63" t="n">
        <f aca="false">-V64*(Premissas!$C$44+Premissas!$C$45+Premissas!$C$46)</f>
        <v>-93.405451125</v>
      </c>
      <c r="W68" s="63" t="n">
        <f aca="false">-W64*(Premissas!$C$44+Premissas!$C$45+Premissas!$C$46)</f>
        <v>-98.64127875</v>
      </c>
      <c r="X68" s="63" t="n">
        <f aca="false">-X64*(Premissas!$C$44+Premissas!$C$45+Premissas!$C$46)</f>
        <v>-106.47225225</v>
      </c>
      <c r="Y68" s="63" t="n">
        <f aca="false">-Y64*(Premissas!$C$44+Premissas!$C$45+Premissas!$C$46)</f>
        <v>-114.304871625</v>
      </c>
      <c r="Z68" s="63" t="n">
        <f aca="false">-Z64*(Premissas!$C$44+Premissas!$C$45+Premissas!$C$46)</f>
        <v>-122.139136875</v>
      </c>
      <c r="AA68" s="63" t="n">
        <f aca="false">-AA64*(Premissas!$C$44+Premissas!$C$45+Premissas!$C$46)</f>
        <v>-129.975048</v>
      </c>
      <c r="AB68" s="63" t="n">
        <f aca="false">-AB64*(Premissas!$C$44+Premissas!$C$45+Premissas!$C$46)</f>
        <v>-140.406105</v>
      </c>
      <c r="AC68" s="63" t="n">
        <f aca="false">-AC64*(Premissas!$C$44+Premissas!$C$45+Premissas!$C$46)</f>
        <v>-150.838807875</v>
      </c>
      <c r="AD68" s="64" t="n">
        <f aca="false">SUM(B68:AC68)</f>
        <v>-1672.69807425</v>
      </c>
    </row>
    <row r="69" customFormat="false" ht="15" hidden="false" customHeight="true" outlineLevel="0" collapsed="false">
      <c r="A69" s="59" t="s">
        <v>189</v>
      </c>
      <c r="B69" s="63" t="n">
        <f aca="false">IF((B64+B68+B67)&gt;0,-B64*(Premissas!$C$47+Premissas!$C$48),0)</f>
        <v>0</v>
      </c>
      <c r="C69" s="63" t="n">
        <f aca="false">IF((C64+C68+C67)&gt;0,-C64*(Premissas!$C$47+Premissas!$C$48),0)</f>
        <v>0</v>
      </c>
      <c r="D69" s="63" t="n">
        <f aca="false">IF((D64+D68+D67)&gt;0,-D64*(Premissas!$C$47+Premissas!$C$48),0)</f>
        <v>0</v>
      </c>
      <c r="E69" s="63" t="n">
        <f aca="false">IF((E64+E68+E67)&gt;0,-E64*(Premissas!$C$47+Premissas!$C$48),0)</f>
        <v>0</v>
      </c>
      <c r="F69" s="63" t="n">
        <f aca="false">IF((F64+F68+F67)&gt;0,-F64*(Premissas!$C$47+Premissas!$C$48),0)</f>
        <v>0</v>
      </c>
      <c r="G69" s="63" t="n">
        <f aca="false">IF((G64+G68+G67)&gt;0,-G64*(Premissas!$C$47+Premissas!$C$48),0)</f>
        <v>0</v>
      </c>
      <c r="H69" s="63" t="n">
        <f aca="false">IF((H64+H68+H67)&gt;0,-H64*(Premissas!$C$47+Premissas!$C$48),0)</f>
        <v>0</v>
      </c>
      <c r="I69" s="63" t="n">
        <f aca="false">IF((I64+I68+I67)&gt;0,-I64*(Premissas!$C$47+Premissas!$C$48),0)</f>
        <v>0</v>
      </c>
      <c r="J69" s="63" t="n">
        <f aca="false">IF((J64+J68+J67)&gt;0,-J64*(Premissas!$C$47+Premissas!$C$48),0)</f>
        <v>0</v>
      </c>
      <c r="K69" s="63" t="n">
        <f aca="false">IF((K64+K68+K67)&gt;0,-K64*(Premissas!$C$47+Premissas!$C$48),0)</f>
        <v>0</v>
      </c>
      <c r="L69" s="63" t="n">
        <f aca="false">IF((L64+L68+L67)&gt;0,-L64*(Premissas!$C$47+Premissas!$C$48),0)</f>
        <v>0</v>
      </c>
      <c r="M69" s="63" t="n">
        <f aca="false">IF((M64+M68+M67)&gt;0,-M64*(Premissas!$C$47+Premissas!$C$48),0)</f>
        <v>0</v>
      </c>
      <c r="N69" s="63" t="n">
        <f aca="false">IF((N64+N68+N67)&gt;0,-N64*(Premissas!$C$47+Premissas!$C$48),0)</f>
        <v>0</v>
      </c>
      <c r="O69" s="63" t="n">
        <f aca="false">IF((O64+O68+O67)&gt;0,-O64*(Premissas!$C$47+Premissas!$C$48),0)</f>
        <v>0</v>
      </c>
      <c r="P69" s="63" t="n">
        <f aca="false">IF((P64+P68+P67)&gt;0,-P64*(Premissas!$C$47+Premissas!$C$48),0)</f>
        <v>0</v>
      </c>
      <c r="Q69" s="63" t="n">
        <f aca="false">IF((Q64+Q68+Q67)&gt;0,-Q64*(Premissas!$C$47+Premissas!$C$48),0)</f>
        <v>0</v>
      </c>
      <c r="R69" s="63" t="n">
        <f aca="false">IF((R64+R68+R67)&gt;0,-R64*(Premissas!$C$47+Premissas!$C$48),0)</f>
        <v>0</v>
      </c>
      <c r="S69" s="63" t="n">
        <f aca="false">IF((S64+S68+S67)&gt;0,-S64*(Premissas!$C$47+Premissas!$C$48),0)</f>
        <v>0</v>
      </c>
      <c r="T69" s="63" t="n">
        <f aca="false">IF((T64+T68+T67)&gt;0,-T64*(Premissas!$C$47+Premissas!$C$48),0)</f>
        <v>0</v>
      </c>
      <c r="U69" s="63" t="n">
        <f aca="false">IF((U64+U68+U67)&gt;0,-U64*(Premissas!$C$47+Premissas!$C$48),0)</f>
        <v>0</v>
      </c>
      <c r="V69" s="63" t="n">
        <f aca="false">IF((V64+V68+V67)&gt;0,-V64*(Premissas!$C$47+Premissas!$C$48),0)</f>
        <v>0</v>
      </c>
      <c r="W69" s="63" t="n">
        <f aca="false">IF((W64+W68+W67)&gt;0,-W64*(Premissas!$C$47+Premissas!$C$48),0)</f>
        <v>0</v>
      </c>
      <c r="X69" s="63" t="n">
        <f aca="false">IF((X64+X68+X67)&gt;0,-X64*(Premissas!$C$47+Premissas!$C$48),0)</f>
        <v>0</v>
      </c>
      <c r="Y69" s="63" t="n">
        <f aca="false">IF((Y64+Y68+Y67)&gt;0,-Y64*(Premissas!$C$47+Premissas!$C$48),0)</f>
        <v>0</v>
      </c>
      <c r="Z69" s="63" t="n">
        <f aca="false">IF((Z64+Z68+Z67)&gt;0,-Z64*(Premissas!$C$47+Premissas!$C$48),0)</f>
        <v>0</v>
      </c>
      <c r="AA69" s="63" t="n">
        <f aca="false">IF((AA64+AA68+AA67)&gt;0,-AA64*(Premissas!$C$47+Premissas!$C$48),0)</f>
        <v>0</v>
      </c>
      <c r="AB69" s="63" t="n">
        <f aca="false">IF((AB64+AB68+AB67)&gt;0,-AB64*(Premissas!$C$47+Premissas!$C$48),0)</f>
        <v>0</v>
      </c>
      <c r="AC69" s="63" t="n">
        <f aca="false">IF((AC64+AC68+AC67)&gt;0,-AC64*(Premissas!$C$47+Premissas!$C$48),0)</f>
        <v>0</v>
      </c>
      <c r="AD69" s="64" t="n">
        <f aca="false">SUM(B69:AC69)</f>
        <v>0</v>
      </c>
    </row>
    <row r="71" customFormat="false" ht="15" hidden="false" customHeight="true" outlineLevel="0" collapsed="false">
      <c r="A71" s="67" t="s">
        <v>190</v>
      </c>
      <c r="B71" s="44" t="n">
        <f aca="false">B64+B67+B68+B69</f>
        <v>-1793.8389</v>
      </c>
      <c r="C71" s="44" t="n">
        <f aca="false">C64+C67+C68+C69</f>
        <v>-1792.914735</v>
      </c>
      <c r="D71" s="44" t="n">
        <f aca="false">D64+D67+D68+D69</f>
        <v>-1791.85194525</v>
      </c>
      <c r="E71" s="44" t="n">
        <f aca="false">E64+E67+E68+E69</f>
        <v>-1790.627426625</v>
      </c>
      <c r="F71" s="44" t="n">
        <f aca="false">F64+F67+F68+F69</f>
        <v>-1789.218075</v>
      </c>
      <c r="G71" s="44" t="n">
        <f aca="false">G64+G67+G68+G69</f>
        <v>-1787.60078625</v>
      </c>
      <c r="H71" s="44" t="n">
        <f aca="false">H64+H67+H68+H69</f>
        <v>-13804.821252875</v>
      </c>
      <c r="I71" s="44" t="n">
        <f aca="false">I64+I67+I68+I69</f>
        <v>-13767.629212625</v>
      </c>
      <c r="J71" s="44" t="n">
        <f aca="false">J64+J67+J68+J69</f>
        <v>-13730.38326275</v>
      </c>
      <c r="K71" s="44" t="n">
        <f aca="false">K64+K67+K68+K69</f>
        <v>-13693.091104625</v>
      </c>
      <c r="L71" s="44" t="n">
        <f aca="false">L64+L67+L68+L69</f>
        <v>-13655.745036875</v>
      </c>
      <c r="M71" s="44" t="n">
        <f aca="false">M64+M67+M68+M69</f>
        <v>-13618.3450595</v>
      </c>
      <c r="N71" s="44" t="n">
        <f aca="false">N64+N67+N68+N69</f>
        <v>-34566.115164625</v>
      </c>
      <c r="O71" s="44" t="n">
        <f aca="false">O64+O67+O68+O69</f>
        <v>-34593.573367</v>
      </c>
      <c r="P71" s="44" t="n">
        <f aca="false">P64+P67+P68+P69</f>
        <v>-34556.604666625</v>
      </c>
      <c r="Q71" s="44" t="n">
        <f aca="false">Q64+Q67+Q68+Q69</f>
        <v>-34519.6205635</v>
      </c>
      <c r="R71" s="44" t="n">
        <f aca="false">R64+R67+R68+R69</f>
        <v>-34482.621057625</v>
      </c>
      <c r="S71" s="44" t="n">
        <f aca="false">S64+S67+S68+S69</f>
        <v>-34409.199649</v>
      </c>
      <c r="T71" s="44" t="n">
        <f aca="false">T64+T67+T68+T69</f>
        <v>-34335.75513625</v>
      </c>
      <c r="U71" s="44" t="n">
        <f aca="false">U64+U67+U68+U69</f>
        <v>-34262.29522075</v>
      </c>
      <c r="V71" s="44" t="n">
        <f aca="false">V64+V67+V68+V69</f>
        <v>-34188.812201125</v>
      </c>
      <c r="W71" s="44" t="n">
        <f aca="false">W64+W67+W68+W69</f>
        <v>-34115.31377875</v>
      </c>
      <c r="X71" s="44" t="n">
        <f aca="false">X64+X67+X68+X69</f>
        <v>-34005.38575225</v>
      </c>
      <c r="Y71" s="44" t="n">
        <f aca="false">Y64+Y67+Y68+Y69</f>
        <v>-33895.434621625</v>
      </c>
      <c r="Z71" s="44" t="n">
        <f aca="false">Z64+Z67+Z68+Z69</f>
        <v>-33785.460386875</v>
      </c>
      <c r="AA71" s="44" t="n">
        <f aca="false">AA64+AA67+AA68+AA69</f>
        <v>-33675.463048</v>
      </c>
      <c r="AB71" s="44" t="n">
        <f aca="false">AB64+AB67+AB68+AB69</f>
        <v>-33529.036105</v>
      </c>
      <c r="AC71" s="44" t="n">
        <f aca="false">AC64+AC67+AC68+AC69</f>
        <v>-33382.586057875</v>
      </c>
      <c r="AD71" s="44" t="n">
        <f aca="false">SUM(B71:AC71)</f>
        <v>-639319.34357425</v>
      </c>
    </row>
    <row r="72" customFormat="false" ht="15" hidden="false" customHeight="true" outlineLevel="0" collapsed="false">
      <c r="A72" s="69" t="s">
        <v>191</v>
      </c>
      <c r="B72" s="64" t="n">
        <f aca="false">B71</f>
        <v>-1793.8389</v>
      </c>
      <c r="C72" s="64" t="n">
        <f aca="false">B72+C71</f>
        <v>-3586.753635</v>
      </c>
      <c r="D72" s="64" t="n">
        <f aca="false">C72+D71</f>
        <v>-5378.60558025</v>
      </c>
      <c r="E72" s="64" t="n">
        <f aca="false">D72+E71</f>
        <v>-7169.233006875</v>
      </c>
      <c r="F72" s="64" t="n">
        <f aca="false">E72+F71</f>
        <v>-8958.451081875</v>
      </c>
      <c r="G72" s="64" t="n">
        <f aca="false">F72+G71</f>
        <v>-10746.051868125</v>
      </c>
      <c r="H72" s="64" t="n">
        <f aca="false">G72+H71</f>
        <v>-24550.873121</v>
      </c>
      <c r="I72" s="64" t="n">
        <f aca="false">H72+I71</f>
        <v>-38318.502333625</v>
      </c>
      <c r="J72" s="64" t="n">
        <f aca="false">I72+J71</f>
        <v>-52048.885596375</v>
      </c>
      <c r="K72" s="64" t="n">
        <f aca="false">J72+K71</f>
        <v>-65741.976701</v>
      </c>
      <c r="L72" s="64" t="n">
        <f aca="false">K72+L71</f>
        <v>-79397.721737875</v>
      </c>
      <c r="M72" s="64" t="n">
        <f aca="false">L72+M71</f>
        <v>-93016.066797375</v>
      </c>
      <c r="N72" s="64" t="n">
        <f aca="false">M72+N71</f>
        <v>-127582.181962</v>
      </c>
      <c r="O72" s="64" t="n">
        <f aca="false">N72+O71</f>
        <v>-162175.755329</v>
      </c>
      <c r="P72" s="64" t="n">
        <f aca="false">O72+P71</f>
        <v>-196732.359995625</v>
      </c>
      <c r="Q72" s="64" t="n">
        <f aca="false">P72+Q71</f>
        <v>-231251.980559125</v>
      </c>
      <c r="R72" s="64" t="n">
        <f aca="false">Q72+R71</f>
        <v>-265734.60161675</v>
      </c>
      <c r="S72" s="64" t="n">
        <f aca="false">R72+S71</f>
        <v>-300143.80126575</v>
      </c>
      <c r="T72" s="64" t="n">
        <f aca="false">S72+T71</f>
        <v>-334479.556402</v>
      </c>
      <c r="U72" s="64" t="n">
        <f aca="false">T72+U71</f>
        <v>-368741.85162275</v>
      </c>
      <c r="V72" s="64" t="n">
        <f aca="false">U72+V71</f>
        <v>-402930.663823875</v>
      </c>
      <c r="W72" s="64" t="n">
        <f aca="false">V72+W71</f>
        <v>-437045.977602625</v>
      </c>
      <c r="X72" s="64" t="n">
        <f aca="false">W72+X71</f>
        <v>-471051.363354875</v>
      </c>
      <c r="Y72" s="64" t="n">
        <f aca="false">X72+Y71</f>
        <v>-504946.7979765</v>
      </c>
      <c r="Z72" s="64" t="n">
        <f aca="false">Y72+Z71</f>
        <v>-538732.258363375</v>
      </c>
      <c r="AA72" s="64" t="n">
        <f aca="false">Z72+AA71</f>
        <v>-572407.721411375</v>
      </c>
      <c r="AB72" s="64" t="n">
        <f aca="false">AA72+AB71</f>
        <v>-605936.757516375</v>
      </c>
      <c r="AC72" s="64" t="n">
        <f aca="false">AB72+AC71</f>
        <v>-639319.34357425</v>
      </c>
    </row>
  </sheetData>
  <mergeCells count="13">
    <mergeCell ref="A1:AC1"/>
    <mergeCell ref="A3:AD3"/>
    <mergeCell ref="A7:AD7"/>
    <mergeCell ref="A12:AD12"/>
    <mergeCell ref="A18:AD18"/>
    <mergeCell ref="A27:AD27"/>
    <mergeCell ref="A31:AD31"/>
    <mergeCell ref="A36:AD36"/>
    <mergeCell ref="A42:AD42"/>
    <mergeCell ref="A51:AD51"/>
    <mergeCell ref="A55:AD55"/>
    <mergeCell ref="A60:AD60"/>
    <mergeCell ref="A66:AD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5"/>
  </cols>
  <sheetData>
    <row r="1" customFormat="false" ht="27.75" hidden="false" customHeight="true" outlineLevel="0" collapsed="false">
      <c r="A1" s="26" t="s">
        <v>194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15" hidden="false" customHeight="true" outlineLevel="0" collapsed="false">
      <c r="A3" s="6" t="s">
        <v>90</v>
      </c>
      <c r="B3" s="17" t="s">
        <v>195</v>
      </c>
      <c r="C3" s="17" t="s">
        <v>196</v>
      </c>
      <c r="D3" s="17" t="s">
        <v>197</v>
      </c>
      <c r="E3" s="17" t="s">
        <v>198</v>
      </c>
      <c r="F3" s="17" t="s">
        <v>199</v>
      </c>
      <c r="G3" s="17" t="s">
        <v>200</v>
      </c>
      <c r="H3" s="17" t="s">
        <v>201</v>
      </c>
      <c r="I3" s="17" t="s">
        <v>202</v>
      </c>
      <c r="J3" s="17" t="s">
        <v>203</v>
      </c>
    </row>
    <row r="5" customFormat="false" ht="15" hidden="false" customHeight="true" outlineLevel="0" collapsed="false">
      <c r="A5" s="43" t="s">
        <v>204</v>
      </c>
      <c r="B5" s="72" t="n">
        <f aca="false">'Projeção Mensal'!B16+'Projeção Mensal'!C16+'Projeção Mensal'!D16+'Projeção Mensal'!E16</f>
        <v>3836.16</v>
      </c>
      <c r="C5" s="72" t="n">
        <f aca="false">'Projeção Mensal'!B40+'Projeção Mensal'!C40+'Projeção Mensal'!D40+'Projeção Mensal'!E40</f>
        <v>524.6696</v>
      </c>
      <c r="D5" s="72" t="n">
        <f aca="false">'Projeção Mensal'!B64+'Projeção Mensal'!C64+'Projeção Mensal'!D64+'Projeção Mensal'!E64</f>
        <v>32.95875</v>
      </c>
      <c r="E5" s="72" t="n">
        <f aca="false">'Projeção Mensal'!F16+'Projeção Mensal'!G16+'Projeção Mensal'!H16+'Projeção Mensal'!I16+'Projeção Mensal'!J16+'Projeção Mensal'!K16+'Projeção Mensal'!L16+'Projeção Mensal'!M16+'Projeção Mensal'!N16+'Projeção Mensal'!O16+'Projeção Mensal'!P16+'Projeção Mensal'!Q16</f>
        <v>374484.795</v>
      </c>
      <c r="F5" s="72" t="n">
        <f aca="false">'Projeção Mensal'!F40+'Projeção Mensal'!G40+'Projeção Mensal'!H40+'Projeção Mensal'!I40+'Projeção Mensal'!J40+'Projeção Mensal'!K40+'Projeção Mensal'!L40+'Projeção Mensal'!M40+'Projeção Mensal'!N40+'Projeção Mensal'!O40+'Projeção Mensal'!P40+'Projeção Mensal'!Q40</f>
        <v>76100.1252</v>
      </c>
      <c r="G5" s="72" t="n">
        <f aca="false">'Projeção Mensal'!F64+'Projeção Mensal'!G64+'Projeção Mensal'!H64+'Projeção Mensal'!I64+'Projeção Mensal'!J64+'Projeção Mensal'!K64+'Projeção Mensal'!L64+'Projeção Mensal'!M64+'Projeção Mensal'!N64+'Projeção Mensal'!O64+'Projeção Mensal'!P64+'Projeção Mensal'!Q64</f>
        <v>5910.2865</v>
      </c>
      <c r="H5" s="72" t="n">
        <f aca="false">'Projeção Mensal'!R16+'Projeção Mensal'!S16+'Projeção Mensal'!T16+'Projeção Mensal'!U16+'Projeção Mensal'!V16+'Projeção Mensal'!W16+'Projeção Mensal'!X16+'Projeção Mensal'!Y16+'Projeção Mensal'!Z16+'Projeção Mensal'!AA16+'Projeção Mensal'!AB16+'Projeção Mensal'!AC16</f>
        <v>4626983.55</v>
      </c>
      <c r="I5" s="72" t="n">
        <f aca="false">'Projeção Mensal'!R40+'Projeção Mensal'!S40+'Projeção Mensal'!T40+'Projeção Mensal'!U40+'Projeção Mensal'!V40+'Projeção Mensal'!W40+'Projeção Mensal'!X40+'Projeção Mensal'!Y40+'Projeção Mensal'!Z40+'Projeção Mensal'!AA40+'Projeção Mensal'!AB40+'Projeção Mensal'!AC40</f>
        <v>553992.2204</v>
      </c>
      <c r="J5" s="72" t="n">
        <f aca="false">'Projeção Mensal'!R64+'Projeção Mensal'!S64+'Projeção Mensal'!T64+'Projeção Mensal'!U64+'Projeção Mensal'!V64+'Projeção Mensal'!W64+'Projeção Mensal'!X64+'Projeção Mensal'!Y64+'Projeção Mensal'!Z64+'Projeção Mensal'!AA64+'Projeção Mensal'!AB64+'Projeção Mensal'!AC64</f>
        <v>19210.10925</v>
      </c>
    </row>
    <row r="6" customFormat="false" ht="15" hidden="false" customHeight="true" outlineLevel="0" collapsed="false">
      <c r="A6" s="18" t="s">
        <v>205</v>
      </c>
      <c r="B6" s="68" t="n">
        <f aca="false">'Projeção Mensal'!B13+'Projeção Mensal'!C13+'Projeção Mensal'!D13+'Projeção Mensal'!E13</f>
        <v>3836.16</v>
      </c>
      <c r="C6" s="68" t="n">
        <f aca="false">'Projeção Mensal'!B37+'Projeção Mensal'!C37+'Projeção Mensal'!D37+'Projeção Mensal'!E37</f>
        <v>524.6696</v>
      </c>
      <c r="D6" s="68" t="n">
        <f aca="false">'Projeção Mensal'!B61+'Projeção Mensal'!C61+'Projeção Mensal'!D61+'Projeção Mensal'!E61</f>
        <v>32.95875</v>
      </c>
      <c r="E6" s="68" t="n">
        <f aca="false">'Projeção Mensal'!F13+'Projeção Mensal'!G13+'Projeção Mensal'!H13+'Projeção Mensal'!I13+'Projeção Mensal'!J13+'Projeção Mensal'!K13+'Projeção Mensal'!L13+'Projeção Mensal'!M13+'Projeção Mensal'!N13+'Projeção Mensal'!O13+'Projeção Mensal'!P13+'Projeção Mensal'!Q13</f>
        <v>83850.795</v>
      </c>
      <c r="F6" s="68" t="n">
        <f aca="false">'Projeção Mensal'!F37+'Projeção Mensal'!G37+'Projeção Mensal'!H37+'Projeção Mensal'!I37+'Projeção Mensal'!J37+'Projeção Mensal'!K37+'Projeção Mensal'!L37+'Projeção Mensal'!M37+'Projeção Mensal'!N37+'Projeção Mensal'!O37+'Projeção Mensal'!P37+'Projeção Mensal'!Q37</f>
        <v>5567.1252</v>
      </c>
      <c r="G6" s="68" t="n">
        <f aca="false">'Projeção Mensal'!F61+'Projeção Mensal'!G61+'Projeção Mensal'!H61+'Projeção Mensal'!I61+'Projeção Mensal'!J61+'Projeção Mensal'!K61+'Projeção Mensal'!L61+'Projeção Mensal'!M61+'Projeção Mensal'!N61+'Projeção Mensal'!O61+'Projeção Mensal'!P61+'Projeção Mensal'!Q61</f>
        <v>204.2865</v>
      </c>
      <c r="H6" s="68" t="n">
        <f aca="false">'Projeção Mensal'!R13+'Projeção Mensal'!S13+'Projeção Mensal'!T13+'Projeção Mensal'!U13+'Projeção Mensal'!V13+'Projeção Mensal'!W13+'Projeção Mensal'!X13+'Projeção Mensal'!Y13+'Projeção Mensal'!Z13+'Projeção Mensal'!AA13+'Projeção Mensal'!AB13+'Projeção Mensal'!AC13</f>
        <v>298637.55</v>
      </c>
      <c r="I6" s="68" t="n">
        <f aca="false">'Projeção Mensal'!R37+'Projeção Mensal'!S37+'Projeção Mensal'!T37+'Projeção Mensal'!U37+'Projeção Mensal'!V37+'Projeção Mensal'!W37+'Projeção Mensal'!X37+'Projeção Mensal'!Y37+'Projeção Mensal'!Z37+'Projeção Mensal'!AA37+'Projeção Mensal'!AB37+'Projeção Mensal'!AC37</f>
        <v>12378.2204</v>
      </c>
      <c r="J6" s="68" t="n">
        <f aca="false">'Projeção Mensal'!R61+'Projeção Mensal'!S61+'Projeção Mensal'!T61+'Projeção Mensal'!U61+'Projeção Mensal'!V61+'Projeção Mensal'!W61+'Projeção Mensal'!X61+'Projeção Mensal'!Y61+'Projeção Mensal'!Z61+'Projeção Mensal'!AA61+'Projeção Mensal'!AB61+'Projeção Mensal'!AC61</f>
        <v>310.10925</v>
      </c>
    </row>
    <row r="7" customFormat="false" ht="15" hidden="false" customHeight="true" outlineLevel="0" collapsed="false">
      <c r="A7" s="18" t="s">
        <v>206</v>
      </c>
      <c r="B7" s="68" t="n">
        <f aca="false">'Projeção Mensal'!B14+'Projeção Mensal'!C14+'Projeção Mensal'!D14+'Projeção Mensal'!E14</f>
        <v>0</v>
      </c>
      <c r="C7" s="68" t="n">
        <f aca="false">'Projeção Mensal'!B38+'Projeção Mensal'!C38+'Projeção Mensal'!D38+'Projeção Mensal'!E38</f>
        <v>0</v>
      </c>
      <c r="D7" s="68" t="n">
        <f aca="false">'Projeção Mensal'!B62+'Projeção Mensal'!C62+'Projeção Mensal'!D62+'Projeção Mensal'!E62</f>
        <v>0</v>
      </c>
      <c r="E7" s="68" t="n">
        <f aca="false">'Projeção Mensal'!F14+'Projeção Mensal'!G14+'Projeção Mensal'!H14+'Projeção Mensal'!I14+'Projeção Mensal'!J14+'Projeção Mensal'!K14+'Projeção Mensal'!L14+'Projeção Mensal'!M14+'Projeção Mensal'!N14+'Projeção Mensal'!O14+'Projeção Mensal'!P14+'Projeção Mensal'!Q14</f>
        <v>275604</v>
      </c>
      <c r="F7" s="68" t="n">
        <f aca="false">'Projeção Mensal'!F38+'Projeção Mensal'!G38+'Projeção Mensal'!H38+'Projeção Mensal'!I38+'Projeção Mensal'!J38+'Projeção Mensal'!K38+'Projeção Mensal'!L38+'Projeção Mensal'!M38+'Projeção Mensal'!N38+'Projeção Mensal'!O38+'Projeção Mensal'!P38+'Projeção Mensal'!Q38</f>
        <v>61425</v>
      </c>
      <c r="G7" s="68" t="n">
        <f aca="false">'Projeção Mensal'!F62+'Projeção Mensal'!G62+'Projeção Mensal'!H62+'Projeção Mensal'!I62+'Projeção Mensal'!J62+'Projeção Mensal'!K62+'Projeção Mensal'!L62+'Projeção Mensal'!M62+'Projeção Mensal'!N62+'Projeção Mensal'!O62+'Projeção Mensal'!P62+'Projeção Mensal'!Q62</f>
        <v>3705</v>
      </c>
      <c r="H7" s="68" t="n">
        <f aca="false">'Projeção Mensal'!R14+'Projeção Mensal'!S14+'Projeção Mensal'!T14+'Projeção Mensal'!U14+'Projeção Mensal'!V14+'Projeção Mensal'!W14+'Projeção Mensal'!X14+'Projeção Mensal'!Y14+'Projeção Mensal'!Z14+'Projeção Mensal'!AA14+'Projeção Mensal'!AB14+'Projeção Mensal'!AC14</f>
        <v>4207296</v>
      </c>
      <c r="I7" s="68" t="n">
        <f aca="false">'Projeção Mensal'!R38+'Projeção Mensal'!S38+'Projeção Mensal'!T38+'Projeção Mensal'!U38+'Projeção Mensal'!V38+'Projeção Mensal'!W38+'Projeção Mensal'!X38+'Projeção Mensal'!Y38+'Projeção Mensal'!Z38+'Projeção Mensal'!AA38+'Projeção Mensal'!AB38+'Projeção Mensal'!AC38</f>
        <v>479640</v>
      </c>
      <c r="J7" s="68" t="n">
        <f aca="false">'Projeção Mensal'!R62+'Projeção Mensal'!S62+'Projeção Mensal'!T62+'Projeção Mensal'!U62+'Projeção Mensal'!V62+'Projeção Mensal'!W62+'Projeção Mensal'!X62+'Projeção Mensal'!Y62+'Projeção Mensal'!Z62+'Projeção Mensal'!AA62+'Projeção Mensal'!AB62+'Projeção Mensal'!AC62</f>
        <v>13104</v>
      </c>
    </row>
    <row r="8" customFormat="false" ht="15" hidden="false" customHeight="true" outlineLevel="0" collapsed="false">
      <c r="A8" s="18" t="s">
        <v>207</v>
      </c>
      <c r="B8" s="68" t="n">
        <f aca="false">'Projeção Mensal'!B15+'Projeção Mensal'!C15+'Projeção Mensal'!D15+'Projeção Mensal'!E15</f>
        <v>0</v>
      </c>
      <c r="C8" s="68" t="n">
        <f aca="false">'Projeção Mensal'!B39+'Projeção Mensal'!C39+'Projeção Mensal'!D39+'Projeção Mensal'!E39</f>
        <v>0</v>
      </c>
      <c r="D8" s="68" t="n">
        <f aca="false">'Projeção Mensal'!B63+'Projeção Mensal'!C63+'Projeção Mensal'!D63+'Projeção Mensal'!E63</f>
        <v>0</v>
      </c>
      <c r="E8" s="68" t="n">
        <f aca="false">'Projeção Mensal'!F15+'Projeção Mensal'!G15+'Projeção Mensal'!H15+'Projeção Mensal'!I15+'Projeção Mensal'!J15+'Projeção Mensal'!K15+'Projeção Mensal'!L15+'Projeção Mensal'!M15+'Projeção Mensal'!N15+'Projeção Mensal'!O15+'Projeção Mensal'!P15+'Projeção Mensal'!Q15</f>
        <v>15030</v>
      </c>
      <c r="F8" s="68" t="n">
        <f aca="false">'Projeção Mensal'!F39+'Projeção Mensal'!G39+'Projeção Mensal'!H39+'Projeção Mensal'!I39+'Projeção Mensal'!J39+'Projeção Mensal'!K39+'Projeção Mensal'!L39+'Projeção Mensal'!M39+'Projeção Mensal'!N39+'Projeção Mensal'!O39+'Projeção Mensal'!P39+'Projeção Mensal'!Q39</f>
        <v>9108</v>
      </c>
      <c r="G8" s="68" t="n">
        <f aca="false">'Projeção Mensal'!F63+'Projeção Mensal'!G63+'Projeção Mensal'!H63+'Projeção Mensal'!I63+'Projeção Mensal'!J63+'Projeção Mensal'!K63+'Projeção Mensal'!L63+'Projeção Mensal'!M63+'Projeção Mensal'!N63+'Projeção Mensal'!O63+'Projeção Mensal'!P63+'Projeção Mensal'!Q63</f>
        <v>2001</v>
      </c>
      <c r="H8" s="68" t="n">
        <f aca="false">'Projeção Mensal'!R15+'Projeção Mensal'!S15+'Projeção Mensal'!T15+'Projeção Mensal'!U15+'Projeção Mensal'!V15+'Projeção Mensal'!W15+'Projeção Mensal'!X15+'Projeção Mensal'!Y15+'Projeção Mensal'!Z15+'Projeção Mensal'!AA15+'Projeção Mensal'!AB15+'Projeção Mensal'!AC15</f>
        <v>121050</v>
      </c>
      <c r="I8" s="68" t="n">
        <f aca="false">'Projeção Mensal'!R39+'Projeção Mensal'!S39+'Projeção Mensal'!T39+'Projeção Mensal'!U39+'Projeção Mensal'!V39+'Projeção Mensal'!W39+'Projeção Mensal'!X39+'Projeção Mensal'!Y39+'Projeção Mensal'!Z39+'Projeção Mensal'!AA39+'Projeção Mensal'!AB39+'Projeção Mensal'!AC39</f>
        <v>61974</v>
      </c>
      <c r="J8" s="68" t="n">
        <f aca="false">'Projeção Mensal'!R63+'Projeção Mensal'!S63+'Projeção Mensal'!T63+'Projeção Mensal'!U63+'Projeção Mensal'!V63+'Projeção Mensal'!W63+'Projeção Mensal'!X63+'Projeção Mensal'!Y63+'Projeção Mensal'!Z63+'Projeção Mensal'!AA63+'Projeção Mensal'!AB63+'Projeção Mensal'!AC63</f>
        <v>5796</v>
      </c>
    </row>
    <row r="9" customFormat="false" ht="15" hidden="false" customHeight="true" outlineLevel="0" collapsed="false">
      <c r="A9" s="18" t="s">
        <v>208</v>
      </c>
      <c r="B9" s="68" t="n">
        <f aca="false">-Premissas!$C$41+-Premissas!$C$41+-Premissas!$C$41+-Premissas!$C$41</f>
        <v>-7200</v>
      </c>
      <c r="C9" s="68" t="n">
        <f aca="false">-Premissas!$C$41+-Premissas!$C$41+-Premissas!$C$41+-Premissas!$C$41</f>
        <v>-7200</v>
      </c>
      <c r="D9" s="68" t="n">
        <f aca="false">-Premissas!$C$41+-Premissas!$C$41+-Premissas!$C$41+-Premissas!$C$41</f>
        <v>-7200</v>
      </c>
      <c r="E9" s="68" t="n">
        <f aca="false">-Premissas!$C$41+-Premissas!$C$41+-Premissas!$D$41+-Premissas!$D$41+-Premissas!$D$41+-Premissas!$D$41+-Premissas!$D$41+-Premissas!$D$41+-Premissas!$E$41+-Premissas!$E$41+-Premissas!$E$41+-Premissas!$E$41</f>
        <v>-229600</v>
      </c>
      <c r="F9" s="68" t="n">
        <f aca="false">-Premissas!$C$41+-Premissas!$C$41+-Premissas!$D$41+-Premissas!$D$41+-Premissas!$D$41+-Premissas!$D$41+-Premissas!$D$41+-Premissas!$D$41+-Premissas!$E$41+-Premissas!$E$41+-Premissas!$E$41+-Premissas!$E$41</f>
        <v>-229600</v>
      </c>
      <c r="G9" s="68" t="n">
        <f aca="false">-Premissas!$C$41+-Premissas!$C$41+-Premissas!$D$41+-Premissas!$D$41+-Premissas!$D$41+-Premissas!$D$41+-Premissas!$D$41+-Premissas!$D$41+-Premissas!$E$41+-Premissas!$E$41+-Premissas!$E$41+-Premissas!$E$41</f>
        <v>-229600</v>
      </c>
      <c r="H9" s="68" t="n">
        <f aca="false">-Premissas!$E$41+-Premissas!$E$41+-Premissas!$E$41+-Premissas!$E$41+-Premissas!$E$41+-Premissas!$E$41+-Premissas!$E$41+-Premissas!$E$41+-Premissas!$E$41+-Premissas!$E$41+-Premissas!$E$41+-Premissas!$E$41</f>
        <v>-426000</v>
      </c>
      <c r="I9" s="68" t="n">
        <f aca="false">-Premissas!$E$41+-Premissas!$E$41+-Premissas!$E$41+-Premissas!$E$41+-Premissas!$E$41+-Premissas!$E$41+-Premissas!$E$41+-Premissas!$E$41+-Premissas!$E$41+-Premissas!$E$41+-Premissas!$E$41+-Premissas!$E$41</f>
        <v>-426000</v>
      </c>
      <c r="J9" s="68" t="n">
        <f aca="false">-Premissas!$E$41+-Premissas!$E$41+-Premissas!$E$41+-Premissas!$E$41+-Premissas!$E$41+-Premissas!$E$41+-Premissas!$E$41+-Premissas!$E$41+-Premissas!$E$41+-Premissas!$E$41+-Premissas!$E$41+-Premissas!$E$41</f>
        <v>-426000</v>
      </c>
    </row>
    <row r="10" customFormat="false" ht="15" hidden="false" customHeight="true" outlineLevel="0" collapsed="false">
      <c r="A10" s="18" t="s">
        <v>209</v>
      </c>
      <c r="B10" s="63" t="n">
        <f aca="false">-B5*(Premissas!$C$44+Premissas!$C$45+Premissas!$C$46)</f>
        <v>-255.10464</v>
      </c>
      <c r="C10" s="63" t="n">
        <f aca="false">-C5*(Premissas!$C$44+Premissas!$C$45+Premissas!$C$46)</f>
        <v>-34.8905284</v>
      </c>
      <c r="D10" s="63" t="n">
        <f aca="false">-D5*(Premissas!$C$44+Premissas!$C$45+Premissas!$C$46)</f>
        <v>-2.191756875</v>
      </c>
      <c r="E10" s="63" t="n">
        <f aca="false">-E5*(Premissas!$C$44+Premissas!$C$45+Premissas!$C$46)</f>
        <v>-24903.2388675</v>
      </c>
      <c r="F10" s="63" t="n">
        <f aca="false">-F5*(Premissas!$C$44+Premissas!$C$45+Premissas!$C$46)</f>
        <v>-5060.6583258</v>
      </c>
      <c r="G10" s="63" t="n">
        <f aca="false">-G5*(Premissas!$C$44+Premissas!$C$45+Premissas!$C$46)</f>
        <v>-393.03405225</v>
      </c>
      <c r="H10" s="63" t="n">
        <f aca="false">-H5*(Premissas!$C$44+Premissas!$C$45+Premissas!$C$46)</f>
        <v>-307694.406075</v>
      </c>
      <c r="I10" s="63" t="n">
        <f aca="false">-I5*(Premissas!$C$44+Premissas!$C$45+Premissas!$C$46)</f>
        <v>-36840.4826566</v>
      </c>
      <c r="J10" s="63" t="n">
        <f aca="false">-J5*(Premissas!$C$44+Premissas!$C$45+Premissas!$C$46)</f>
        <v>-1277.472265125</v>
      </c>
    </row>
    <row r="11" customFormat="false" ht="15" hidden="false" customHeight="true" outlineLevel="0" collapsed="false">
      <c r="A11" s="14" t="s">
        <v>210</v>
      </c>
      <c r="B11" s="64" t="n">
        <f aca="false">B5+B9+B10</f>
        <v>-3618.94464</v>
      </c>
      <c r="C11" s="64" t="n">
        <f aca="false">C5+C9+C10</f>
        <v>-6710.2209284</v>
      </c>
      <c r="D11" s="64" t="n">
        <f aca="false">D5+D9+D10</f>
        <v>-7169.233006875</v>
      </c>
      <c r="E11" s="64" t="n">
        <f aca="false">E5+E9+E10</f>
        <v>119981.5561325</v>
      </c>
      <c r="F11" s="64" t="n">
        <f aca="false">F5+F9+F10</f>
        <v>-158560.5331258</v>
      </c>
      <c r="G11" s="64" t="n">
        <f aca="false">G5+G9+G10</f>
        <v>-224082.74755225</v>
      </c>
      <c r="H11" s="64" t="n">
        <f aca="false">H5+H9+H10</f>
        <v>3893289.143925</v>
      </c>
      <c r="I11" s="64" t="n">
        <f aca="false">I5+I9+I10</f>
        <v>91151.7377434001</v>
      </c>
      <c r="J11" s="64" t="n">
        <f aca="false">J5+J9+J10</f>
        <v>-408067.363015125</v>
      </c>
    </row>
    <row r="12" customFormat="false" ht="15" hidden="false" customHeight="true" outlineLevel="0" collapsed="false">
      <c r="A12" s="18" t="s">
        <v>211</v>
      </c>
      <c r="B12" s="63" t="n">
        <f aca="false">IF(B11&gt;0,-B5*(Premissas!$C$47+Premissas!$C$48),0)</f>
        <v>0</v>
      </c>
      <c r="C12" s="63" t="n">
        <f aca="false">IF(C11&gt;0,-C5*(Premissas!$C$47+Premissas!$C$48),0)</f>
        <v>0</v>
      </c>
      <c r="D12" s="63" t="n">
        <f aca="false">IF(D11&gt;0,-D5*(Premissas!$C$47+Premissas!$C$48),0)</f>
        <v>0</v>
      </c>
      <c r="E12" s="63" t="n">
        <f aca="false">IF(E11&gt;0,-E5*(Premissas!$C$47+Premissas!$C$48),0)</f>
        <v>-28760.432256</v>
      </c>
      <c r="F12" s="63" t="n">
        <f aca="false">IF(F11&gt;0,-F5*(Premissas!$C$47+Premissas!$C$48),0)</f>
        <v>0</v>
      </c>
      <c r="G12" s="63" t="n">
        <f aca="false">IF(G11&gt;0,-G5*(Premissas!$C$47+Premissas!$C$48),0)</f>
        <v>0</v>
      </c>
      <c r="H12" s="63" t="n">
        <f aca="false">IF(H11&gt;0,-H5*(Premissas!$C$47+Premissas!$C$48),0)</f>
        <v>-355352.33664</v>
      </c>
      <c r="I12" s="63" t="n">
        <f aca="false">IF(I11&gt;0,-I5*(Premissas!$C$47+Premissas!$C$48),0)</f>
        <v>-42546.60252672</v>
      </c>
      <c r="J12" s="63" t="n">
        <f aca="false">IF(J11&gt;0,-J5*(Premissas!$C$47+Premissas!$C$48),0)</f>
        <v>0</v>
      </c>
    </row>
    <row r="13" customFormat="false" ht="15" hidden="false" customHeight="true" outlineLevel="0" collapsed="false">
      <c r="A13" s="43" t="s">
        <v>212</v>
      </c>
      <c r="B13" s="44" t="n">
        <f aca="false">B11+B12</f>
        <v>-3618.94464</v>
      </c>
      <c r="C13" s="44" t="n">
        <f aca="false">C11+C12</f>
        <v>-6710.2209284</v>
      </c>
      <c r="D13" s="44" t="n">
        <f aca="false">D11+D12</f>
        <v>-7169.233006875</v>
      </c>
      <c r="E13" s="44" t="n">
        <f aca="false">E11+E12</f>
        <v>91221.1238765</v>
      </c>
      <c r="F13" s="44" t="n">
        <f aca="false">F11+F12</f>
        <v>-158560.5331258</v>
      </c>
      <c r="G13" s="44" t="n">
        <f aca="false">G11+G12</f>
        <v>-224082.74755225</v>
      </c>
      <c r="H13" s="44" t="n">
        <f aca="false">H11+H12</f>
        <v>3537936.807285</v>
      </c>
      <c r="I13" s="44" t="n">
        <f aca="false">I11+I12</f>
        <v>48605.1352166801</v>
      </c>
      <c r="J13" s="44" t="n">
        <f aca="false">J11+J12</f>
        <v>-408067.363015125</v>
      </c>
    </row>
    <row r="14" customFormat="false" ht="15" hidden="false" customHeight="true" outlineLevel="0" collapsed="false">
      <c r="A14" s="32" t="s">
        <v>213</v>
      </c>
      <c r="B14" s="73" t="n">
        <f aca="false">IFERROR(B13/B5,0)</f>
        <v>-0.943376876876877</v>
      </c>
      <c r="C14" s="73" t="n">
        <f aca="false">IFERROR(C13/C5,0)</f>
        <v>-12.7894220065352</v>
      </c>
      <c r="D14" s="73" t="n">
        <f aca="false">IFERROR(D13/D5,0)</f>
        <v>-217.521386790306</v>
      </c>
      <c r="E14" s="73" t="n">
        <f aca="false">IFERROR(E13/E5,0)</f>
        <v>0.243590995133728</v>
      </c>
      <c r="F14" s="73" t="n">
        <f aca="false">IFERROR(F13/F5,0)</f>
        <v>-2.08357782210061</v>
      </c>
      <c r="G14" s="73" t="n">
        <f aca="false">IFERROR(G13/G5,0)</f>
        <v>-37.9140245658565</v>
      </c>
      <c r="H14" s="73" t="n">
        <f aca="false">IFERROR(H13/H5,0)</f>
        <v>0.76463137788441</v>
      </c>
      <c r="I14" s="73" t="n">
        <f aca="false">IFERROR(I13/I5,0)</f>
        <v>0.087736133156501</v>
      </c>
      <c r="J14" s="73" t="n">
        <f aca="false">IFERROR(J13/J5,0)</f>
        <v>-21.2423239089661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0" min="2" style="1" width="15"/>
  </cols>
  <sheetData>
    <row r="1" customFormat="false" ht="27.75" hidden="false" customHeight="true" outlineLevel="0" collapsed="false">
      <c r="A1" s="26" t="s">
        <v>214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true" outlineLevel="0" collapsed="false">
      <c r="A2" s="3" t="s">
        <v>215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17" t="s">
        <v>216</v>
      </c>
      <c r="B4" s="17" t="s">
        <v>217</v>
      </c>
      <c r="C4" s="17" t="s">
        <v>218</v>
      </c>
      <c r="D4" s="17" t="s">
        <v>219</v>
      </c>
    </row>
    <row r="5" customFormat="false" ht="15" hidden="false" customHeight="true" outlineLevel="0" collapsed="false">
      <c r="A5" s="18" t="s">
        <v>33</v>
      </c>
      <c r="B5" s="68" t="n">
        <f aca="false">'Projeção Mensal'!AC15</f>
        <v>17550</v>
      </c>
      <c r="C5" s="68" t="n">
        <f aca="false">'Projeção Mensal'!AC39</f>
        <v>8316</v>
      </c>
      <c r="D5" s="68" t="n">
        <f aca="false">'Projeção Mensal'!AC63</f>
        <v>483</v>
      </c>
    </row>
    <row r="6" customFormat="false" ht="15" hidden="false" customHeight="true" outlineLevel="0" collapsed="false">
      <c r="A6" s="18" t="s">
        <v>220</v>
      </c>
      <c r="B6" s="63" t="n">
        <f aca="false">B5*12</f>
        <v>210600</v>
      </c>
      <c r="C6" s="63" t="n">
        <f aca="false">C5*12</f>
        <v>99792</v>
      </c>
      <c r="D6" s="63" t="n">
        <f aca="false">D5*12</f>
        <v>5796</v>
      </c>
    </row>
    <row r="7" customFormat="false" ht="15" hidden="false" customHeight="true" outlineLevel="0" collapsed="false">
      <c r="A7" s="18" t="s">
        <v>221</v>
      </c>
      <c r="B7" s="74" t="n">
        <f aca="false">'Projeção Mensal'!AC10</f>
        <v>195</v>
      </c>
      <c r="C7" s="74" t="n">
        <f aca="false">'Projeção Mensal'!AC34</f>
        <v>84</v>
      </c>
      <c r="D7" s="74" t="n">
        <f aca="false">'Projeção Mensal'!AC58</f>
        <v>7</v>
      </c>
    </row>
    <row r="8" customFormat="false" ht="15" hidden="false" customHeight="true" outlineLevel="0" collapsed="false">
      <c r="A8" s="18" t="s">
        <v>222</v>
      </c>
      <c r="B8" s="75" t="n">
        <f aca="false">Premissas!$D$27</f>
        <v>90</v>
      </c>
      <c r="C8" s="75" t="n">
        <f aca="false">Premissas!$E$27</f>
        <v>99</v>
      </c>
      <c r="D8" s="75" t="n">
        <f aca="false">Premissas!$F$27</f>
        <v>69</v>
      </c>
    </row>
    <row r="9" customFormat="false" ht="15" hidden="false" customHeight="true" outlineLevel="0" collapsed="false">
      <c r="A9" s="18" t="s">
        <v>223</v>
      </c>
      <c r="B9" s="76" t="n">
        <f aca="false">Premissas!$D$26</f>
        <v>0.05</v>
      </c>
      <c r="C9" s="76" t="n">
        <f aca="false">Premissas!$E$26</f>
        <v>0.05</v>
      </c>
      <c r="D9" s="76" t="n">
        <f aca="false">Premissas!$F$26</f>
        <v>0.12</v>
      </c>
    </row>
    <row r="10" customFormat="false" ht="15" hidden="false" customHeight="true" outlineLevel="0" collapsed="false">
      <c r="A10" s="18" t="s">
        <v>224</v>
      </c>
      <c r="B10" s="63" t="n">
        <f aca="false">IFERROR(B8/B9,0)</f>
        <v>1800</v>
      </c>
      <c r="C10" s="63" t="n">
        <f aca="false">IFERROR(C8/C9,0)</f>
        <v>1980</v>
      </c>
      <c r="D10" s="63" t="n">
        <f aca="false">IFERROR(D8/D9,0)</f>
        <v>575</v>
      </c>
    </row>
    <row r="11" customFormat="false" ht="15" hidden="false" customHeight="true" outlineLevel="0" collapsed="false">
      <c r="A11" s="18" t="s">
        <v>225</v>
      </c>
      <c r="B11" s="63" t="n">
        <f aca="false">IFERROR(3000*16/('Projeção Mensal'!AC10-Premissas!D24),0)</f>
        <v>300</v>
      </c>
      <c r="C11" s="63" t="n">
        <f aca="false">IFERROR(3000*16/('Projeção Mensal'!AC34-Premissas!E24),0)</f>
        <v>750</v>
      </c>
      <c r="D11" s="63" t="n">
        <f aca="false">IFERROR(3000*16/('Projeção Mensal'!AC58-Premissas!F24),0)</f>
        <v>-48000</v>
      </c>
    </row>
    <row r="12" customFormat="false" ht="15" hidden="false" customHeight="true" outlineLevel="0" collapsed="false">
      <c r="A12" s="43" t="s">
        <v>226</v>
      </c>
      <c r="B12" s="77" t="n">
        <f aca="false">IFERROR(B10/B11,0)</f>
        <v>6</v>
      </c>
      <c r="C12" s="77" t="n">
        <f aca="false">IFERROR(C10/C11,0)</f>
        <v>2.64</v>
      </c>
      <c r="D12" s="77" t="n">
        <f aca="false">IFERROR(D10/D11,0)</f>
        <v>-0.0119791666666667</v>
      </c>
    </row>
    <row r="13" customFormat="false" ht="15" hidden="false" customHeight="true" outlineLevel="0" collapsed="false">
      <c r="A13" s="18" t="s">
        <v>227</v>
      </c>
      <c r="B13" s="78" t="n">
        <f aca="false">IFERROR(B11/B8,0)</f>
        <v>3.33333333333333</v>
      </c>
      <c r="C13" s="78" t="n">
        <f aca="false">IFERROR(C11/C8,0)</f>
        <v>7.57575757575758</v>
      </c>
      <c r="D13" s="78" t="n">
        <f aca="false">IFERROR(D11/D8,0)</f>
        <v>-695.652173913044</v>
      </c>
    </row>
    <row r="15" customFormat="false" ht="15" hidden="false" customHeight="true" outlineLevel="0" collapsed="false">
      <c r="A15" s="69" t="s">
        <v>228</v>
      </c>
    </row>
    <row r="16" customFormat="false" ht="15" hidden="false" customHeight="true" outlineLevel="0" collapsed="false">
      <c r="A16" s="79" t="s">
        <v>229</v>
      </c>
      <c r="B16" s="79"/>
      <c r="C16" s="79"/>
      <c r="D16" s="79"/>
    </row>
    <row r="17" customFormat="false" ht="15" hidden="false" customHeight="true" outlineLevel="0" collapsed="false">
      <c r="A17" s="79" t="s">
        <v>230</v>
      </c>
      <c r="B17" s="79"/>
      <c r="C17" s="79"/>
      <c r="D17" s="79"/>
    </row>
    <row r="18" customFormat="false" ht="15" hidden="false" customHeight="true" outlineLevel="0" collapsed="false">
      <c r="A18" s="79" t="s">
        <v>231</v>
      </c>
      <c r="B18" s="79"/>
      <c r="C18" s="79"/>
      <c r="D18" s="79"/>
    </row>
    <row r="19" customFormat="false" ht="15" hidden="false" customHeight="true" outlineLevel="0" collapsed="false">
      <c r="A19" s="79" t="s">
        <v>232</v>
      </c>
      <c r="B19" s="79"/>
      <c r="C19" s="79"/>
      <c r="D19" s="79"/>
    </row>
  </sheetData>
  <mergeCells count="6">
    <mergeCell ref="A1:J1"/>
    <mergeCell ref="A2:J2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0"/>
    <col collapsed="false" customWidth="true" hidden="false" outlineLevel="0" max="3" min="3" style="1" width="22"/>
    <col collapsed="false" customWidth="true" hidden="false" outlineLevel="0" max="4" min="4" style="1" width="60"/>
  </cols>
  <sheetData>
    <row r="2" customFormat="false" ht="27.75" hidden="false" customHeight="true" outlineLevel="0" collapsed="false">
      <c r="B2" s="26" t="s">
        <v>233</v>
      </c>
      <c r="C2" s="26"/>
      <c r="D2" s="26"/>
    </row>
    <row r="3" customFormat="false" ht="15" hidden="false" customHeight="true" outlineLevel="0" collapsed="false">
      <c r="B3" s="3" t="s">
        <v>234</v>
      </c>
      <c r="C3" s="3"/>
      <c r="D3" s="3"/>
    </row>
    <row r="5" customFormat="false" ht="15" hidden="false" customHeight="true" outlineLevel="0" collapsed="false">
      <c r="B5" s="80" t="s">
        <v>235</v>
      </c>
      <c r="C5" s="80"/>
      <c r="D5" s="80"/>
    </row>
    <row r="6" customFormat="false" ht="15" hidden="false" customHeight="true" outlineLevel="0" collapsed="false">
      <c r="B6" s="48" t="s">
        <v>236</v>
      </c>
      <c r="C6" s="40" t="s">
        <v>237</v>
      </c>
      <c r="D6" s="48" t="s">
        <v>238</v>
      </c>
    </row>
    <row r="7" customFormat="false" ht="15" hidden="false" customHeight="true" outlineLevel="0" collapsed="false">
      <c r="B7" s="18" t="s">
        <v>239</v>
      </c>
      <c r="C7" s="81" t="s">
        <v>240</v>
      </c>
      <c r="D7" s="32" t="s">
        <v>241</v>
      </c>
    </row>
    <row r="8" customFormat="false" ht="15" hidden="false" customHeight="true" outlineLevel="0" collapsed="false">
      <c r="B8" s="18" t="s">
        <v>242</v>
      </c>
      <c r="C8" s="81" t="s">
        <v>240</v>
      </c>
      <c r="D8" s="32" t="s">
        <v>243</v>
      </c>
    </row>
    <row r="9" customFormat="false" ht="15" hidden="false" customHeight="true" outlineLevel="0" collapsed="false">
      <c r="B9" s="18" t="s">
        <v>244</v>
      </c>
      <c r="C9" s="81" t="s">
        <v>240</v>
      </c>
      <c r="D9" s="32" t="s">
        <v>245</v>
      </c>
    </row>
    <row r="10" customFormat="false" ht="15" hidden="false" customHeight="true" outlineLevel="0" collapsed="false">
      <c r="B10" s="18" t="s">
        <v>246</v>
      </c>
      <c r="C10" s="81" t="s">
        <v>240</v>
      </c>
      <c r="D10" s="32" t="s">
        <v>247</v>
      </c>
    </row>
    <row r="12" customFormat="false" ht="15" hidden="false" customHeight="true" outlineLevel="0" collapsed="false">
      <c r="B12" s="82" t="s">
        <v>248</v>
      </c>
      <c r="C12" s="82"/>
      <c r="D12" s="82"/>
    </row>
    <row r="13" customFormat="false" ht="15" hidden="false" customHeight="true" outlineLevel="0" collapsed="false">
      <c r="B13" s="48" t="s">
        <v>236</v>
      </c>
      <c r="C13" s="40" t="s">
        <v>237</v>
      </c>
      <c r="D13" s="48" t="s">
        <v>238</v>
      </c>
    </row>
    <row r="14" customFormat="false" ht="15" hidden="false" customHeight="true" outlineLevel="0" collapsed="false">
      <c r="B14" s="18" t="s">
        <v>249</v>
      </c>
      <c r="C14" s="81" t="s">
        <v>240</v>
      </c>
      <c r="D14" s="32" t="s">
        <v>250</v>
      </c>
    </row>
    <row r="15" customFormat="false" ht="15" hidden="false" customHeight="true" outlineLevel="0" collapsed="false">
      <c r="B15" s="18" t="s">
        <v>251</v>
      </c>
      <c r="C15" s="81" t="s">
        <v>240</v>
      </c>
      <c r="D15" s="32" t="s">
        <v>252</v>
      </c>
    </row>
    <row r="16" customFormat="false" ht="15" hidden="false" customHeight="true" outlineLevel="0" collapsed="false">
      <c r="B16" s="18" t="s">
        <v>253</v>
      </c>
      <c r="C16" s="81" t="s">
        <v>240</v>
      </c>
      <c r="D16" s="32" t="s">
        <v>254</v>
      </c>
    </row>
    <row r="17" customFormat="false" ht="15" hidden="false" customHeight="true" outlineLevel="0" collapsed="false">
      <c r="B17" s="18" t="s">
        <v>255</v>
      </c>
      <c r="C17" s="81" t="s">
        <v>240</v>
      </c>
      <c r="D17" s="32" t="s">
        <v>256</v>
      </c>
    </row>
    <row r="19" customFormat="false" ht="15" hidden="false" customHeight="true" outlineLevel="0" collapsed="false">
      <c r="B19" s="83" t="s">
        <v>257</v>
      </c>
      <c r="C19" s="83"/>
      <c r="D19" s="83"/>
    </row>
    <row r="20" customFormat="false" ht="15" hidden="false" customHeight="true" outlineLevel="0" collapsed="false">
      <c r="B20" s="48" t="s">
        <v>236</v>
      </c>
      <c r="C20" s="40" t="s">
        <v>237</v>
      </c>
      <c r="D20" s="48" t="s">
        <v>238</v>
      </c>
    </row>
    <row r="21" customFormat="false" ht="15" hidden="false" customHeight="true" outlineLevel="0" collapsed="false">
      <c r="B21" s="18" t="s">
        <v>258</v>
      </c>
      <c r="C21" s="81" t="s">
        <v>240</v>
      </c>
      <c r="D21" s="32" t="s">
        <v>259</v>
      </c>
    </row>
    <row r="22" customFormat="false" ht="15" hidden="false" customHeight="true" outlineLevel="0" collapsed="false">
      <c r="B22" s="18" t="s">
        <v>260</v>
      </c>
      <c r="C22" s="81" t="s">
        <v>240</v>
      </c>
      <c r="D22" s="32" t="s">
        <v>261</v>
      </c>
    </row>
    <row r="23" customFormat="false" ht="15" hidden="false" customHeight="true" outlineLevel="0" collapsed="false">
      <c r="B23" s="18" t="s">
        <v>262</v>
      </c>
      <c r="C23" s="81" t="s">
        <v>240</v>
      </c>
      <c r="D23" s="32" t="s">
        <v>263</v>
      </c>
    </row>
    <row r="24" customFormat="false" ht="15" hidden="false" customHeight="true" outlineLevel="0" collapsed="false">
      <c r="B24" s="18" t="s">
        <v>264</v>
      </c>
      <c r="C24" s="81" t="s">
        <v>240</v>
      </c>
      <c r="D24" s="32" t="s">
        <v>265</v>
      </c>
    </row>
    <row r="25" customFormat="false" ht="15" hidden="false" customHeight="true" outlineLevel="0" collapsed="false">
      <c r="B25" s="18" t="s">
        <v>266</v>
      </c>
      <c r="C25" s="81" t="s">
        <v>240</v>
      </c>
      <c r="D25" s="32" t="s">
        <v>267</v>
      </c>
    </row>
    <row r="26" customFormat="false" ht="15" hidden="false" customHeight="true" outlineLevel="0" collapsed="false">
      <c r="B26" s="18" t="s">
        <v>268</v>
      </c>
      <c r="C26" s="81" t="s">
        <v>240</v>
      </c>
      <c r="D26" s="32" t="s">
        <v>269</v>
      </c>
    </row>
    <row r="29" customFormat="false" ht="15" hidden="false" customHeight="true" outlineLevel="0" collapsed="false">
      <c r="B29" s="84" t="s">
        <v>270</v>
      </c>
      <c r="C29" s="84"/>
      <c r="D29" s="84"/>
    </row>
    <row r="30" customFormat="false" ht="15" hidden="false" customHeight="true" outlineLevel="0" collapsed="false">
      <c r="B30" s="18" t="s">
        <v>271</v>
      </c>
      <c r="C30" s="10" t="s">
        <v>272</v>
      </c>
      <c r="D30" s="10"/>
    </row>
    <row r="31" customFormat="false" ht="15" hidden="false" customHeight="true" outlineLevel="0" collapsed="false">
      <c r="B31" s="18" t="s">
        <v>273</v>
      </c>
      <c r="C31" s="10" t="s">
        <v>274</v>
      </c>
      <c r="D31" s="10"/>
    </row>
    <row r="32" customFormat="false" ht="15" hidden="false" customHeight="true" outlineLevel="0" collapsed="false">
      <c r="B32" s="18" t="s">
        <v>275</v>
      </c>
      <c r="C32" s="10" t="s">
        <v>276</v>
      </c>
      <c r="D32" s="10"/>
    </row>
    <row r="33" customFormat="false" ht="15" hidden="false" customHeight="true" outlineLevel="0" collapsed="false">
      <c r="B33" s="18" t="s">
        <v>277</v>
      </c>
      <c r="C33" s="10" t="s">
        <v>278</v>
      </c>
      <c r="D33" s="10"/>
    </row>
    <row r="34" customFormat="false" ht="15" hidden="false" customHeight="true" outlineLevel="0" collapsed="false">
      <c r="B34" s="18" t="s">
        <v>279</v>
      </c>
      <c r="C34" s="10" t="s">
        <v>280</v>
      </c>
      <c r="D34" s="10"/>
    </row>
    <row r="35" customFormat="false" ht="15" hidden="false" customHeight="true" outlineLevel="0" collapsed="false">
      <c r="B35" s="18" t="s">
        <v>281</v>
      </c>
      <c r="C35" s="10" t="s">
        <v>282</v>
      </c>
      <c r="D35" s="10"/>
    </row>
  </sheetData>
  <mergeCells count="12">
    <mergeCell ref="B2:D2"/>
    <mergeCell ref="B3:D3"/>
    <mergeCell ref="B5:D5"/>
    <mergeCell ref="B12:D12"/>
    <mergeCell ref="B19:D19"/>
    <mergeCell ref="B29:D29"/>
    <mergeCell ref="C30:D30"/>
    <mergeCell ref="C31:D31"/>
    <mergeCell ref="C32:D32"/>
    <mergeCell ref="C33:D33"/>
    <mergeCell ref="C34:D34"/>
    <mergeCell ref="C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27.75" hidden="false" customHeight="true" outlineLevel="0" collapsed="false">
      <c r="A1" s="26" t="s">
        <v>283</v>
      </c>
      <c r="B1" s="26"/>
      <c r="C1" s="26"/>
      <c r="D1" s="26"/>
      <c r="E1" s="26"/>
    </row>
    <row r="2" customFormat="false" ht="15" hidden="false" customHeight="true" outlineLevel="0" collapsed="false">
      <c r="A2" s="3" t="s">
        <v>284</v>
      </c>
      <c r="B2" s="3"/>
      <c r="C2" s="3"/>
      <c r="D2" s="3"/>
      <c r="E2" s="3"/>
    </row>
    <row r="4" customFormat="false" ht="15" hidden="false" customHeight="true" outlineLevel="0" collapsed="false">
      <c r="A4" s="40" t="s">
        <v>90</v>
      </c>
      <c r="B4" s="40" t="s">
        <v>285</v>
      </c>
      <c r="C4" s="40" t="s">
        <v>286</v>
      </c>
      <c r="D4" s="40" t="s">
        <v>287</v>
      </c>
      <c r="E4" s="40" t="s">
        <v>94</v>
      </c>
    </row>
    <row r="5" customFormat="false" ht="15" hidden="false" customHeight="true" outlineLevel="0" collapsed="false">
      <c r="A5" s="58" t="s">
        <v>288</v>
      </c>
      <c r="B5" s="58"/>
      <c r="C5" s="58"/>
      <c r="D5" s="58"/>
      <c r="E5" s="58"/>
    </row>
    <row r="6" customFormat="false" ht="15" hidden="false" customHeight="true" outlineLevel="0" collapsed="false">
      <c r="A6" s="18" t="s">
        <v>289</v>
      </c>
      <c r="B6" s="85" t="n">
        <v>1500</v>
      </c>
      <c r="C6" s="86" t="n">
        <v>1</v>
      </c>
      <c r="D6" s="63" t="n">
        <f aca="false">B6*C6</f>
        <v>1500</v>
      </c>
      <c r="E6" s="32" t="s">
        <v>290</v>
      </c>
    </row>
    <row r="7" customFormat="false" ht="15" hidden="false" customHeight="true" outlineLevel="0" collapsed="false">
      <c r="A7" s="18" t="s">
        <v>291</v>
      </c>
      <c r="B7" s="85" t="n">
        <v>3000</v>
      </c>
      <c r="C7" s="86" t="n">
        <v>1</v>
      </c>
      <c r="D7" s="63" t="n">
        <f aca="false">B7*C7</f>
        <v>3000</v>
      </c>
      <c r="E7" s="32" t="s">
        <v>292</v>
      </c>
    </row>
    <row r="8" customFormat="false" ht="15" hidden="false" customHeight="true" outlineLevel="0" collapsed="false">
      <c r="A8" s="18" t="s">
        <v>293</v>
      </c>
      <c r="B8" s="85" t="n">
        <v>1500</v>
      </c>
      <c r="C8" s="86" t="n">
        <v>1</v>
      </c>
      <c r="D8" s="63" t="n">
        <f aca="false">B8*C8</f>
        <v>1500</v>
      </c>
      <c r="E8" s="32" t="s">
        <v>294</v>
      </c>
    </row>
    <row r="9" customFormat="false" ht="15" hidden="false" customHeight="true" outlineLevel="0" collapsed="false">
      <c r="A9" s="58" t="s">
        <v>295</v>
      </c>
      <c r="B9" s="58"/>
      <c r="C9" s="58"/>
      <c r="D9" s="58"/>
      <c r="E9" s="58"/>
    </row>
    <row r="10" customFormat="false" ht="15" hidden="false" customHeight="true" outlineLevel="0" collapsed="false">
      <c r="A10" s="18" t="s">
        <v>296</v>
      </c>
      <c r="B10" s="85" t="n">
        <v>800</v>
      </c>
      <c r="C10" s="86" t="n">
        <v>1</v>
      </c>
      <c r="D10" s="63" t="n">
        <f aca="false">B10*C10</f>
        <v>800</v>
      </c>
      <c r="E10" s="32" t="s">
        <v>297</v>
      </c>
    </row>
    <row r="11" customFormat="false" ht="15" hidden="false" customHeight="true" outlineLevel="0" collapsed="false">
      <c r="A11" s="18" t="s">
        <v>298</v>
      </c>
      <c r="B11" s="85" t="n">
        <v>8000</v>
      </c>
      <c r="C11" s="86" t="n">
        <v>1</v>
      </c>
      <c r="D11" s="63" t="n">
        <f aca="false">B11*C11</f>
        <v>8000</v>
      </c>
      <c r="E11" s="32" t="s">
        <v>299</v>
      </c>
    </row>
    <row r="12" customFormat="false" ht="15" hidden="false" customHeight="true" outlineLevel="0" collapsed="false">
      <c r="A12" s="18" t="s">
        <v>300</v>
      </c>
      <c r="B12" s="85" t="n">
        <v>2400</v>
      </c>
      <c r="C12" s="86" t="n">
        <v>1</v>
      </c>
      <c r="D12" s="63" t="n">
        <f aca="false">B12*C12</f>
        <v>2400</v>
      </c>
      <c r="E12" s="32" t="s">
        <v>301</v>
      </c>
    </row>
    <row r="13" customFormat="false" ht="15" hidden="false" customHeight="true" outlineLevel="0" collapsed="false">
      <c r="A13" s="58" t="s">
        <v>302</v>
      </c>
      <c r="B13" s="58"/>
      <c r="C13" s="58"/>
      <c r="D13" s="58"/>
      <c r="E13" s="58"/>
    </row>
    <row r="14" customFormat="false" ht="15" hidden="false" customHeight="true" outlineLevel="0" collapsed="false">
      <c r="A14" s="18" t="s">
        <v>303</v>
      </c>
      <c r="B14" s="87" t="n">
        <v>12000</v>
      </c>
      <c r="C14" s="86" t="n">
        <v>1</v>
      </c>
      <c r="D14" s="63" t="n">
        <f aca="false">B14*C14</f>
        <v>12000</v>
      </c>
      <c r="E14" s="32" t="s">
        <v>304</v>
      </c>
    </row>
    <row r="15" customFormat="false" ht="15" hidden="false" customHeight="true" outlineLevel="0" collapsed="false">
      <c r="A15" s="18" t="s">
        <v>305</v>
      </c>
      <c r="B15" s="85" t="n">
        <v>1500</v>
      </c>
      <c r="C15" s="86" t="n">
        <v>1</v>
      </c>
      <c r="D15" s="63" t="n">
        <f aca="false">B15*C15</f>
        <v>1500</v>
      </c>
      <c r="E15" s="32" t="s">
        <v>306</v>
      </c>
    </row>
    <row r="16" customFormat="false" ht="15" hidden="false" customHeight="true" outlineLevel="0" collapsed="false">
      <c r="A16" s="58" t="s">
        <v>307</v>
      </c>
      <c r="B16" s="58"/>
      <c r="C16" s="58"/>
      <c r="D16" s="58"/>
      <c r="E16" s="58"/>
    </row>
    <row r="17" customFormat="false" ht="15" hidden="false" customHeight="true" outlineLevel="0" collapsed="false">
      <c r="A17" s="18" t="s">
        <v>308</v>
      </c>
      <c r="B17" s="87" t="n">
        <v>25000</v>
      </c>
      <c r="C17" s="86" t="n">
        <v>1</v>
      </c>
      <c r="D17" s="63" t="n">
        <f aca="false">B17*C17</f>
        <v>25000</v>
      </c>
      <c r="E17" s="32" t="s">
        <v>309</v>
      </c>
    </row>
    <row r="18" customFormat="false" ht="15" hidden="false" customHeight="true" outlineLevel="0" collapsed="false">
      <c r="A18" s="18" t="s">
        <v>310</v>
      </c>
      <c r="B18" s="87" t="n">
        <v>10000</v>
      </c>
      <c r="C18" s="86" t="n">
        <v>1</v>
      </c>
      <c r="D18" s="63" t="n">
        <f aca="false">B18*C18</f>
        <v>10000</v>
      </c>
      <c r="E18" s="32" t="s">
        <v>311</v>
      </c>
    </row>
    <row r="20" customFormat="false" ht="17.25" hidden="false" customHeight="true" outlineLevel="0" collapsed="false">
      <c r="A20" s="43" t="s">
        <v>312</v>
      </c>
      <c r="B20" s="88"/>
      <c r="C20" s="88"/>
      <c r="D20" s="89" t="n">
        <f aca="false">SUM(D5:D18)</f>
        <v>65700</v>
      </c>
      <c r="E20" s="88"/>
    </row>
  </sheetData>
  <mergeCells count="6">
    <mergeCell ref="A1:E1"/>
    <mergeCell ref="A2:E2"/>
    <mergeCell ref="A5:E5"/>
    <mergeCell ref="A9:E9"/>
    <mergeCell ref="A13:E13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8"/>
  </cols>
  <sheetData>
    <row r="1" customFormat="false" ht="27.75" hidden="false" customHeight="true" outlineLevel="0" collapsed="false">
      <c r="A1" s="26" t="s">
        <v>313</v>
      </c>
      <c r="B1" s="26"/>
      <c r="C1" s="26"/>
      <c r="D1" s="26"/>
      <c r="E1" s="26"/>
      <c r="F1" s="26"/>
      <c r="G1" s="26"/>
    </row>
    <row r="3" customFormat="false" ht="15" hidden="false" customHeight="true" outlineLevel="0" collapsed="false">
      <c r="A3" s="18" t="s">
        <v>314</v>
      </c>
      <c r="B3" s="68" t="n">
        <f aca="false">'Investimento Inicial'!$D$20</f>
        <v>65700</v>
      </c>
    </row>
    <row r="4" customFormat="false" ht="15" hidden="false" customHeight="true" outlineLevel="0" collapsed="false">
      <c r="A4" s="18" t="s">
        <v>315</v>
      </c>
      <c r="B4" s="76" t="n">
        <f aca="false">Premissas!$C$52</f>
        <v>0.18</v>
      </c>
    </row>
    <row r="6" customFormat="false" ht="15" hidden="false" customHeight="true" outlineLevel="0" collapsed="false">
      <c r="A6" s="58" t="s">
        <v>316</v>
      </c>
      <c r="B6" s="58"/>
      <c r="C6" s="58"/>
      <c r="D6" s="58"/>
      <c r="E6" s="58"/>
      <c r="F6" s="58"/>
      <c r="G6" s="58"/>
    </row>
    <row r="7" customFormat="false" ht="15" hidden="false" customHeight="true" outlineLevel="0" collapsed="false">
      <c r="A7" s="48" t="s">
        <v>317</v>
      </c>
      <c r="B7" s="40" t="s">
        <v>318</v>
      </c>
      <c r="C7" s="40" t="s">
        <v>24</v>
      </c>
      <c r="D7" s="40" t="s">
        <v>25</v>
      </c>
      <c r="E7" s="40" t="s">
        <v>319</v>
      </c>
      <c r="F7" s="40" t="s">
        <v>320</v>
      </c>
    </row>
    <row r="8" customFormat="false" ht="15" hidden="false" customHeight="true" outlineLevel="0" collapsed="false">
      <c r="A8" s="18" t="s">
        <v>20</v>
      </c>
      <c r="B8" s="68" t="n">
        <f aca="false">'Projeção 5 Anos'!B15</f>
        <v>-3618.94464</v>
      </c>
      <c r="C8" s="68" t="n">
        <f aca="false">'Projeção 5 Anos'!E15</f>
        <v>91221.1238765</v>
      </c>
      <c r="D8" s="68" t="n">
        <f aca="false">'Projeção 5 Anos'!H15</f>
        <v>3537936.807285</v>
      </c>
      <c r="E8" s="68" t="n">
        <f aca="false">'Projeção 5 Anos'!K15</f>
        <v>6759598.5841455</v>
      </c>
      <c r="F8" s="68" t="n">
        <f aca="false">'Projeção 5 Anos'!N15</f>
        <v>12757289.6567252</v>
      </c>
    </row>
    <row r="9" customFormat="false" ht="15" hidden="false" customHeight="true" outlineLevel="0" collapsed="false">
      <c r="A9" s="18" t="s">
        <v>21</v>
      </c>
      <c r="B9" s="68" t="n">
        <f aca="false">'Projeção 5 Anos'!C15</f>
        <v>-6710.2209284</v>
      </c>
      <c r="C9" s="68" t="n">
        <f aca="false">'Projeção 5 Anos'!F15</f>
        <v>-158560.5331258</v>
      </c>
      <c r="D9" s="68" t="n">
        <f aca="false">'Projeção 5 Anos'!I15</f>
        <v>48605.13521668</v>
      </c>
      <c r="E9" s="68" t="n">
        <f aca="false">'Projeção 5 Anos'!L15</f>
        <v>393785.815304496</v>
      </c>
      <c r="F9" s="68" t="n">
        <f aca="false">'Projeção 5 Anos'!O15</f>
        <v>756480.397649395</v>
      </c>
    </row>
    <row r="10" customFormat="false" ht="15" hidden="false" customHeight="true" outlineLevel="0" collapsed="false">
      <c r="A10" s="18" t="s">
        <v>22</v>
      </c>
      <c r="B10" s="68" t="n">
        <f aca="false">'Projeção 5 Anos'!D15</f>
        <v>-7169.233006875</v>
      </c>
      <c r="C10" s="68" t="n">
        <f aca="false">'Projeção 5 Anos'!G15</f>
        <v>-224082.74755225</v>
      </c>
      <c r="D10" s="68" t="n">
        <f aca="false">'Projeção 5 Anos'!J15</f>
        <v>-408067.363015125</v>
      </c>
      <c r="E10" s="68" t="n">
        <f aca="false">'Projeção 5 Anos'!M15</f>
        <v>-277945.126996462</v>
      </c>
      <c r="F10" s="68" t="n">
        <f aca="false">'Projeção 5 Anos'!P15</f>
        <v>-392861.903016109</v>
      </c>
    </row>
    <row r="12" customFormat="false" ht="15" hidden="false" customHeight="true" outlineLevel="0" collapsed="false">
      <c r="A12" s="58" t="s">
        <v>321</v>
      </c>
      <c r="B12" s="58"/>
      <c r="C12" s="58"/>
      <c r="D12" s="58"/>
      <c r="E12" s="58"/>
      <c r="F12" s="58"/>
      <c r="G12" s="58"/>
    </row>
    <row r="13" customFormat="false" ht="15" hidden="false" customHeight="true" outlineLevel="0" collapsed="false">
      <c r="A13" s="48" t="s">
        <v>317</v>
      </c>
      <c r="B13" s="40" t="s">
        <v>322</v>
      </c>
      <c r="C13" s="40" t="s">
        <v>323</v>
      </c>
      <c r="D13" s="40" t="s">
        <v>324</v>
      </c>
      <c r="E13" s="40" t="s">
        <v>32</v>
      </c>
    </row>
    <row r="14" customFormat="false" ht="15" hidden="false" customHeight="true" outlineLevel="0" collapsed="false">
      <c r="A14" s="18" t="s">
        <v>20</v>
      </c>
      <c r="B14" s="63" t="n">
        <f aca="false">NPV($B$4,B8:F8)</f>
        <v>11278598.8883693</v>
      </c>
      <c r="C14" s="68" t="n">
        <f aca="false">$B$3</f>
        <v>65700</v>
      </c>
      <c r="D14" s="64" t="n">
        <f aca="false">B14-C14</f>
        <v>11212898.8883693</v>
      </c>
      <c r="E14" s="23" t="str">
        <f aca="false">IF(D14&gt;0,"VIÁVEL","INVIÁVEL")</f>
        <v>VIÁVEL</v>
      </c>
    </row>
    <row r="15" customFormat="false" ht="15" hidden="false" customHeight="true" outlineLevel="0" collapsed="false">
      <c r="A15" s="18" t="s">
        <v>21</v>
      </c>
      <c r="B15" s="63" t="n">
        <f aca="false">NPV($B$4,B9:F9)</f>
        <v>443795.148329486</v>
      </c>
      <c r="C15" s="68" t="n">
        <f aca="false">$B$3</f>
        <v>65700</v>
      </c>
      <c r="D15" s="64" t="n">
        <f aca="false">B15-C15</f>
        <v>378095.148329486</v>
      </c>
      <c r="E15" s="23" t="str">
        <f aca="false">IF(D15&gt;0,"VIÁVEL","INVIÁVEL")</f>
        <v>VIÁVEL</v>
      </c>
    </row>
    <row r="16" customFormat="false" ht="15" hidden="false" customHeight="true" outlineLevel="0" collapsed="false">
      <c r="A16" s="18" t="s">
        <v>22</v>
      </c>
      <c r="B16" s="63" t="n">
        <f aca="false">NPV($B$4,B10:F10)</f>
        <v>-730455.319647963</v>
      </c>
      <c r="C16" s="68" t="n">
        <f aca="false">$B$3</f>
        <v>65700</v>
      </c>
      <c r="D16" s="64" t="n">
        <f aca="false">B16-C16</f>
        <v>-796155.319647963</v>
      </c>
      <c r="E16" s="23" t="str">
        <f aca="false">IF(D16&gt;0,"VIÁVEL","INVIÁVEL")</f>
        <v>INVIÁVEL</v>
      </c>
    </row>
    <row r="18" customFormat="false" ht="15" hidden="false" customHeight="true" outlineLevel="0" collapsed="false">
      <c r="A18" s="58" t="s">
        <v>325</v>
      </c>
      <c r="B18" s="58"/>
      <c r="C18" s="58"/>
      <c r="D18" s="58"/>
      <c r="E18" s="58"/>
      <c r="F18" s="58"/>
      <c r="G18" s="58"/>
    </row>
    <row r="19" customFormat="false" ht="15" hidden="false" customHeight="true" outlineLevel="0" collapsed="false">
      <c r="A19" s="18" t="s">
        <v>20</v>
      </c>
      <c r="B19" s="76" t="n">
        <f aca="false">H32</f>
        <v>3.5044746960967</v>
      </c>
    </row>
    <row r="20" customFormat="false" ht="15" hidden="false" customHeight="true" outlineLevel="0" collapsed="false">
      <c r="A20" s="18" t="s">
        <v>21</v>
      </c>
      <c r="B20" s="76" t="n">
        <f aca="false">H33</f>
        <v>0.641744729657685</v>
      </c>
    </row>
    <row r="21" customFormat="false" ht="15" hidden="false" customHeight="true" outlineLevel="0" collapsed="false">
      <c r="A21" s="18" t="s">
        <v>22</v>
      </c>
      <c r="B21" s="76" t="str">
        <f aca="false">H34</f>
        <v>N/A</v>
      </c>
    </row>
    <row r="23" customFormat="false" ht="15" hidden="false" customHeight="true" outlineLevel="0" collapsed="false">
      <c r="A23" s="58" t="s">
        <v>326</v>
      </c>
      <c r="B23" s="58"/>
      <c r="C23" s="58"/>
      <c r="D23" s="58"/>
      <c r="E23" s="58"/>
      <c r="F23" s="58"/>
      <c r="G23" s="58"/>
    </row>
    <row r="24" customFormat="false" ht="15" hidden="false" customHeight="true" outlineLevel="0" collapsed="false">
      <c r="A24" s="48" t="s">
        <v>317</v>
      </c>
      <c r="B24" s="40" t="s">
        <v>327</v>
      </c>
      <c r="C24" s="40" t="s">
        <v>328</v>
      </c>
      <c r="D24" s="40" t="s">
        <v>329</v>
      </c>
      <c r="E24" s="40" t="s">
        <v>330</v>
      </c>
      <c r="F24" s="40" t="s">
        <v>331</v>
      </c>
      <c r="G24" s="40" t="s">
        <v>332</v>
      </c>
    </row>
    <row r="25" customFormat="false" ht="15" hidden="false" customHeight="true" outlineLevel="0" collapsed="false">
      <c r="A25" s="18" t="s">
        <v>20</v>
      </c>
      <c r="B25" s="90" t="n">
        <f aca="false">-$B$3</f>
        <v>-65700</v>
      </c>
      <c r="C25" s="63" t="n">
        <f aca="false">B25+B8</f>
        <v>-69318.94464</v>
      </c>
      <c r="D25" s="63" t="n">
        <f aca="false">C25+C8</f>
        <v>21902.1792365</v>
      </c>
      <c r="E25" s="63" t="n">
        <f aca="false">D25+D8</f>
        <v>3559838.9865215</v>
      </c>
      <c r="F25" s="63" t="n">
        <f aca="false">E25+E8</f>
        <v>10319437.570667</v>
      </c>
      <c r="G25" s="63" t="n">
        <f aca="false">F25+F8</f>
        <v>23076727.2273922</v>
      </c>
    </row>
    <row r="26" customFormat="false" ht="15" hidden="false" customHeight="true" outlineLevel="0" collapsed="false">
      <c r="A26" s="18" t="s">
        <v>21</v>
      </c>
      <c r="B26" s="63" t="n">
        <f aca="false">-$B$3</f>
        <v>-65700</v>
      </c>
      <c r="C26" s="63" t="n">
        <f aca="false">B26+B9</f>
        <v>-72410.2209284</v>
      </c>
      <c r="D26" s="63" t="n">
        <f aca="false">C26+C9</f>
        <v>-230970.7540542</v>
      </c>
      <c r="E26" s="63" t="n">
        <f aca="false">D26+D9</f>
        <v>-182365.61883752</v>
      </c>
      <c r="F26" s="63" t="n">
        <f aca="false">E26+E9</f>
        <v>211420.196466976</v>
      </c>
      <c r="G26" s="63" t="n">
        <f aca="false">F26+F9</f>
        <v>967900.594116371</v>
      </c>
    </row>
    <row r="27" customFormat="false" ht="15" hidden="false" customHeight="true" outlineLevel="0" collapsed="false">
      <c r="A27" s="18" t="s">
        <v>22</v>
      </c>
      <c r="B27" s="63" t="n">
        <f aca="false">-$B$3</f>
        <v>-65700</v>
      </c>
      <c r="C27" s="63" t="n">
        <f aca="false">B27+B10</f>
        <v>-72869.233006875</v>
      </c>
      <c r="D27" s="63" t="n">
        <f aca="false">C27+C10</f>
        <v>-296951.980559125</v>
      </c>
      <c r="E27" s="63" t="n">
        <f aca="false">D27+D10</f>
        <v>-705019.34357425</v>
      </c>
      <c r="F27" s="63" t="n">
        <f aca="false">E27+E10</f>
        <v>-982964.470570713</v>
      </c>
      <c r="G27" s="63" t="n">
        <f aca="false">F27+F10</f>
        <v>-1375826.37358682</v>
      </c>
    </row>
    <row r="30" customFormat="false" ht="15" hidden="false" customHeight="true" outlineLevel="0" collapsed="false">
      <c r="A30" s="58" t="s">
        <v>333</v>
      </c>
      <c r="B30" s="58"/>
      <c r="C30" s="58"/>
      <c r="D30" s="58"/>
      <c r="E30" s="58"/>
      <c r="F30" s="58"/>
    </row>
    <row r="31" customFormat="false" ht="15" hidden="false" customHeight="true" outlineLevel="0" collapsed="false">
      <c r="A31" s="40" t="s">
        <v>317</v>
      </c>
      <c r="B31" s="40" t="s">
        <v>334</v>
      </c>
      <c r="C31" s="40" t="s">
        <v>318</v>
      </c>
      <c r="D31" s="40" t="s">
        <v>24</v>
      </c>
      <c r="E31" s="40" t="s">
        <v>25</v>
      </c>
      <c r="F31" s="40" t="s">
        <v>319</v>
      </c>
      <c r="G31" s="40" t="s">
        <v>320</v>
      </c>
      <c r="H31" s="40" t="s">
        <v>31</v>
      </c>
    </row>
    <row r="32" customFormat="false" ht="15" hidden="false" customHeight="true" outlineLevel="0" collapsed="false">
      <c r="A32" s="18" t="s">
        <v>20</v>
      </c>
      <c r="B32" s="63" t="n">
        <f aca="false">-$B$3</f>
        <v>-65700</v>
      </c>
      <c r="C32" s="68" t="n">
        <f aca="false">B8</f>
        <v>-3618.94464</v>
      </c>
      <c r="D32" s="68" t="n">
        <f aca="false">C8</f>
        <v>91221.1238765</v>
      </c>
      <c r="E32" s="68" t="n">
        <f aca="false">D8</f>
        <v>3537936.807285</v>
      </c>
      <c r="F32" s="68" t="n">
        <f aca="false">E8</f>
        <v>6759598.5841455</v>
      </c>
      <c r="G32" s="68" t="n">
        <f aca="false">F8</f>
        <v>12757289.6567252</v>
      </c>
      <c r="H32" s="73" t="n">
        <f aca="false">IFERROR(IRR(B32:G32),"N/A")</f>
        <v>3.5044746960967</v>
      </c>
    </row>
    <row r="33" customFormat="false" ht="15" hidden="false" customHeight="true" outlineLevel="0" collapsed="false">
      <c r="A33" s="18" t="s">
        <v>21</v>
      </c>
      <c r="B33" s="63" t="n">
        <f aca="false">-$B$3</f>
        <v>-65700</v>
      </c>
      <c r="C33" s="68" t="n">
        <f aca="false">B9</f>
        <v>-6710.2209284</v>
      </c>
      <c r="D33" s="68" t="n">
        <f aca="false">C9</f>
        <v>-158560.5331258</v>
      </c>
      <c r="E33" s="68" t="n">
        <f aca="false">D9</f>
        <v>48605.13521668</v>
      </c>
      <c r="F33" s="68" t="n">
        <f aca="false">E9</f>
        <v>393785.815304496</v>
      </c>
      <c r="G33" s="68" t="n">
        <f aca="false">F9</f>
        <v>756480.397649395</v>
      </c>
      <c r="H33" s="73" t="n">
        <f aca="false">IFERROR(IRR(B33:G33),"N/A")</f>
        <v>0.641744729657685</v>
      </c>
    </row>
    <row r="34" customFormat="false" ht="15" hidden="false" customHeight="true" outlineLevel="0" collapsed="false">
      <c r="A34" s="18" t="s">
        <v>22</v>
      </c>
      <c r="B34" s="63" t="n">
        <f aca="false">-$B$3</f>
        <v>-65700</v>
      </c>
      <c r="C34" s="68" t="n">
        <f aca="false">B10</f>
        <v>-7169.233006875</v>
      </c>
      <c r="D34" s="68" t="n">
        <f aca="false">C10</f>
        <v>-224082.74755225</v>
      </c>
      <c r="E34" s="68" t="n">
        <f aca="false">D10</f>
        <v>-408067.363015125</v>
      </c>
      <c r="F34" s="68" t="n">
        <f aca="false">E10</f>
        <v>-277945.126996462</v>
      </c>
      <c r="G34" s="68" t="n">
        <f aca="false">F10</f>
        <v>-392861.903016109</v>
      </c>
      <c r="H34" s="73" t="str">
        <f aca="false">IFERROR(IRR(B34:G34),"N/A")</f>
        <v>N/A</v>
      </c>
    </row>
  </sheetData>
  <mergeCells count="6">
    <mergeCell ref="A1:G1"/>
    <mergeCell ref="A6:G6"/>
    <mergeCell ref="A12:G12"/>
    <mergeCell ref="A18:G18"/>
    <mergeCell ref="A23:G23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7" min="2" style="1" width="15"/>
  </cols>
  <sheetData>
    <row r="1" customFormat="false" ht="30" hidden="false" customHeight="true" outlineLevel="0" collapsed="false">
      <c r="A1" s="26" t="s">
        <v>335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customFormat="false" ht="15" hidden="false" customHeight="true" outlineLevel="0" collapsed="false">
      <c r="A2" s="3" t="s">
        <v>336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15" hidden="false" customHeight="true" outlineLevel="0" collapsed="false">
      <c r="A4" s="17" t="s">
        <v>90</v>
      </c>
      <c r="B4" s="91" t="s">
        <v>318</v>
      </c>
      <c r="C4" s="91"/>
      <c r="D4" s="91"/>
      <c r="E4" s="91" t="s">
        <v>24</v>
      </c>
      <c r="F4" s="91"/>
      <c r="G4" s="91"/>
      <c r="H4" s="91" t="s">
        <v>25</v>
      </c>
      <c r="I4" s="91"/>
      <c r="J4" s="91"/>
      <c r="K4" s="92" t="s">
        <v>319</v>
      </c>
      <c r="L4" s="92"/>
      <c r="M4" s="92"/>
      <c r="N4" s="93" t="s">
        <v>320</v>
      </c>
      <c r="O4" s="93"/>
      <c r="P4" s="93"/>
    </row>
    <row r="5" customFormat="false" ht="15" hidden="false" customHeight="true" outlineLevel="0" collapsed="false">
      <c r="A5" s="45"/>
      <c r="B5" s="40" t="s">
        <v>126</v>
      </c>
      <c r="C5" s="40" t="s">
        <v>127</v>
      </c>
      <c r="D5" s="40" t="s">
        <v>128</v>
      </c>
      <c r="E5" s="40" t="s">
        <v>126</v>
      </c>
      <c r="F5" s="40" t="s">
        <v>127</v>
      </c>
      <c r="G5" s="40" t="s">
        <v>128</v>
      </c>
      <c r="H5" s="40" t="s">
        <v>126</v>
      </c>
      <c r="I5" s="40" t="s">
        <v>127</v>
      </c>
      <c r="J5" s="40" t="s">
        <v>128</v>
      </c>
      <c r="K5" s="40" t="s">
        <v>126</v>
      </c>
      <c r="L5" s="40" t="s">
        <v>127</v>
      </c>
      <c r="M5" s="40" t="s">
        <v>128</v>
      </c>
      <c r="N5" s="40" t="s">
        <v>126</v>
      </c>
      <c r="O5" s="40" t="s">
        <v>127</v>
      </c>
      <c r="P5" s="40" t="s">
        <v>128</v>
      </c>
    </row>
    <row r="6" customFormat="false" ht="15" hidden="false" customHeight="true" outlineLevel="0" collapsed="false">
      <c r="A6" s="94" t="s">
        <v>181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</row>
    <row r="7" customFormat="false" ht="15" hidden="false" customHeight="true" outlineLevel="0" collapsed="false">
      <c r="A7" s="18" t="s">
        <v>337</v>
      </c>
      <c r="B7" s="68" t="n">
        <f aca="false">'DRE Anual'!B6</f>
        <v>3836.16</v>
      </c>
      <c r="C7" s="68" t="n">
        <f aca="false">'DRE Anual'!C6</f>
        <v>524.6696</v>
      </c>
      <c r="D7" s="68" t="n">
        <f aca="false">'DRE Anual'!D6</f>
        <v>32.95875</v>
      </c>
      <c r="E7" s="68" t="n">
        <f aca="false">'DRE Anual'!E6</f>
        <v>83850.795</v>
      </c>
      <c r="F7" s="68" t="n">
        <f aca="false">'DRE Anual'!F6</f>
        <v>5567.1252</v>
      </c>
      <c r="G7" s="68" t="n">
        <f aca="false">'DRE Anual'!G6</f>
        <v>204.2865</v>
      </c>
      <c r="H7" s="68" t="n">
        <f aca="false">'DRE Anual'!H6</f>
        <v>298637.55</v>
      </c>
      <c r="I7" s="68" t="n">
        <f aca="false">'DRE Anual'!I6</f>
        <v>12378.2204</v>
      </c>
      <c r="J7" s="68" t="n">
        <f aca="false">'DRE Anual'!J6</f>
        <v>310.10925</v>
      </c>
      <c r="K7" s="63" t="n">
        <f aca="false">H7*(1+Premissas!$D$57)</f>
        <v>388228.815</v>
      </c>
      <c r="L7" s="63" t="n">
        <f aca="false">I7*(1+Premissas!$E$57)</f>
        <v>14853.86448</v>
      </c>
      <c r="M7" s="63" t="n">
        <f aca="false">J7*(1+Premissas!$F$57)</f>
        <v>341.120175</v>
      </c>
      <c r="N7" s="63" t="n">
        <f aca="false">K7*(1+Premissas!$D$57)</f>
        <v>504697.4595</v>
      </c>
      <c r="O7" s="63" t="n">
        <f aca="false">L7*(1+Premissas!$E$57)</f>
        <v>17824.637376</v>
      </c>
      <c r="P7" s="63" t="n">
        <f aca="false">M7*(1+Premissas!$F$57)</f>
        <v>375.2321925</v>
      </c>
    </row>
    <row r="8" customFormat="false" ht="15" hidden="false" customHeight="true" outlineLevel="0" collapsed="false">
      <c r="A8" s="18" t="s">
        <v>338</v>
      </c>
      <c r="B8" s="68" t="n">
        <f aca="false">'DRE Anual'!B7</f>
        <v>0</v>
      </c>
      <c r="C8" s="68" t="n">
        <f aca="false">'DRE Anual'!C7</f>
        <v>0</v>
      </c>
      <c r="D8" s="68" t="n">
        <f aca="false">'DRE Anual'!D7</f>
        <v>0</v>
      </c>
      <c r="E8" s="68" t="n">
        <f aca="false">'DRE Anual'!E7</f>
        <v>275604</v>
      </c>
      <c r="F8" s="68" t="n">
        <f aca="false">'DRE Anual'!F7</f>
        <v>61425</v>
      </c>
      <c r="G8" s="68" t="n">
        <f aca="false">'DRE Anual'!G7</f>
        <v>3705</v>
      </c>
      <c r="H8" s="68" t="n">
        <f aca="false">'DRE Anual'!H7</f>
        <v>4207296</v>
      </c>
      <c r="I8" s="68" t="n">
        <f aca="false">'DRE Anual'!I7</f>
        <v>479640</v>
      </c>
      <c r="J8" s="68" t="n">
        <f aca="false">'DRE Anual'!J7</f>
        <v>13104</v>
      </c>
      <c r="K8" s="63" t="n">
        <f aca="false">H8*(1+Premissas!$D$58)</f>
        <v>7783497.6</v>
      </c>
      <c r="L8" s="63" t="n">
        <f aca="false">I8*(1+Premissas!$E$58)</f>
        <v>791406</v>
      </c>
      <c r="M8" s="63" t="n">
        <f aca="false">J8*(1+Premissas!$F$58)</f>
        <v>15724.8</v>
      </c>
      <c r="N8" s="63" t="n">
        <f aca="false">K8*(1+Premissas!$D$58)</f>
        <v>14399470.56</v>
      </c>
      <c r="O8" s="63" t="n">
        <f aca="false">L8*(1+Premissas!$E$58)</f>
        <v>1305819.9</v>
      </c>
      <c r="P8" s="63" t="n">
        <f aca="false">M8*(1+Premissas!$F$58)</f>
        <v>18869.76</v>
      </c>
    </row>
    <row r="9" customFormat="false" ht="15" hidden="false" customHeight="true" outlineLevel="0" collapsed="false">
      <c r="A9" s="18" t="s">
        <v>339</v>
      </c>
      <c r="B9" s="68" t="n">
        <f aca="false">'DRE Anual'!B8</f>
        <v>0</v>
      </c>
      <c r="C9" s="68" t="n">
        <f aca="false">'DRE Anual'!C8</f>
        <v>0</v>
      </c>
      <c r="D9" s="68" t="n">
        <f aca="false">'DRE Anual'!D8</f>
        <v>0</v>
      </c>
      <c r="E9" s="68" t="n">
        <f aca="false">'DRE Anual'!E8</f>
        <v>15030</v>
      </c>
      <c r="F9" s="68" t="n">
        <f aca="false">'DRE Anual'!F8</f>
        <v>9108</v>
      </c>
      <c r="G9" s="68" t="n">
        <f aca="false">'DRE Anual'!G8</f>
        <v>2001</v>
      </c>
      <c r="H9" s="68" t="n">
        <f aca="false">'DRE Anual'!H8</f>
        <v>121050</v>
      </c>
      <c r="I9" s="68" t="n">
        <f aca="false">'DRE Anual'!I8</f>
        <v>61974</v>
      </c>
      <c r="J9" s="68" t="n">
        <f aca="false">'DRE Anual'!J8</f>
        <v>5796</v>
      </c>
      <c r="K9" s="63" t="n">
        <f aca="false">H9*(1+Premissas!$D$59)</f>
        <v>338940</v>
      </c>
      <c r="L9" s="63" t="n">
        <f aca="false">I9*(1+Premissas!$E$59)</f>
        <v>142540.2</v>
      </c>
      <c r="M9" s="63" t="n">
        <f aca="false">J9*(1+Premissas!$F$59)</f>
        <v>7534.8</v>
      </c>
      <c r="N9" s="63" t="n">
        <f aca="false">K9*(1+Premissas!$D$59)</f>
        <v>949032</v>
      </c>
      <c r="O9" s="63" t="n">
        <f aca="false">L9*(1+Premissas!$E$59)</f>
        <v>327842.46</v>
      </c>
      <c r="P9" s="63" t="n">
        <f aca="false">M9*(1+Premissas!$F$59)</f>
        <v>9795.24</v>
      </c>
    </row>
    <row r="10" customFormat="false" ht="15" hidden="false" customHeight="true" outlineLevel="0" collapsed="false">
      <c r="A10" s="43" t="s">
        <v>340</v>
      </c>
      <c r="B10" s="44" t="n">
        <f aca="false">B7+B8+B9</f>
        <v>3836.16</v>
      </c>
      <c r="C10" s="44" t="n">
        <f aca="false">C7+C8+C9</f>
        <v>524.6696</v>
      </c>
      <c r="D10" s="44" t="n">
        <f aca="false">D7+D8+D9</f>
        <v>32.95875</v>
      </c>
      <c r="E10" s="44" t="n">
        <f aca="false">E7+E8+E9</f>
        <v>374484.795</v>
      </c>
      <c r="F10" s="44" t="n">
        <f aca="false">F7+F8+F9</f>
        <v>76100.1252</v>
      </c>
      <c r="G10" s="44" t="n">
        <f aca="false">G7+G8+G9</f>
        <v>5910.2865</v>
      </c>
      <c r="H10" s="44" t="n">
        <f aca="false">H7+H8+H9</f>
        <v>4626983.55</v>
      </c>
      <c r="I10" s="44" t="n">
        <f aca="false">I7+I8+I9</f>
        <v>553992.2204</v>
      </c>
      <c r="J10" s="44" t="n">
        <f aca="false">J7+J8+J9</f>
        <v>19210.10925</v>
      </c>
      <c r="K10" s="44" t="n">
        <f aca="false">K7+K8+K9</f>
        <v>8510666.415</v>
      </c>
      <c r="L10" s="44" t="n">
        <f aca="false">L7+L8+L9</f>
        <v>948800.06448</v>
      </c>
      <c r="M10" s="44" t="n">
        <f aca="false">M7+M8+M9</f>
        <v>23600.720175</v>
      </c>
      <c r="N10" s="44" t="n">
        <f aca="false">N7+N8+N9</f>
        <v>15853200.0195</v>
      </c>
      <c r="O10" s="44" t="n">
        <f aca="false">O7+O8+O9</f>
        <v>1651486.997376</v>
      </c>
      <c r="P10" s="44" t="n">
        <f aca="false">P7+P8+P9</f>
        <v>29040.2321925</v>
      </c>
    </row>
    <row r="12" customFormat="false" ht="15" hidden="false" customHeight="true" outlineLevel="0" collapsed="false">
      <c r="A12" s="94" t="s">
        <v>341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</row>
    <row r="13" customFormat="false" ht="15" hidden="false" customHeight="true" outlineLevel="0" collapsed="false">
      <c r="A13" s="18" t="s">
        <v>342</v>
      </c>
      <c r="B13" s="68" t="n">
        <f aca="false">'DRE Anual'!B9+'DRE Anual'!B10+'DRE Anual'!B12</f>
        <v>-7455.10464</v>
      </c>
      <c r="C13" s="68" t="n">
        <f aca="false">'DRE Anual'!C9+'DRE Anual'!C10+'DRE Anual'!C12</f>
        <v>-7234.8905284</v>
      </c>
      <c r="D13" s="68" t="n">
        <f aca="false">'DRE Anual'!D9+'DRE Anual'!D10+'DRE Anual'!D12</f>
        <v>-7202.191756875</v>
      </c>
      <c r="E13" s="68" t="n">
        <f aca="false">'DRE Anual'!E9+'DRE Anual'!E10+'DRE Anual'!E12</f>
        <v>-283263.6711235</v>
      </c>
      <c r="F13" s="68" t="n">
        <f aca="false">'DRE Anual'!F9+'DRE Anual'!F10+'DRE Anual'!F12</f>
        <v>-234660.6583258</v>
      </c>
      <c r="G13" s="68" t="n">
        <f aca="false">'DRE Anual'!G9+'DRE Anual'!G10+'DRE Anual'!G12</f>
        <v>-229993.03405225</v>
      </c>
      <c r="H13" s="68" t="n">
        <f aca="false">'DRE Anual'!H9+'DRE Anual'!H10+'DRE Anual'!H12</f>
        <v>-1089046.742715</v>
      </c>
      <c r="I13" s="68" t="n">
        <f aca="false">'DRE Anual'!I9+'DRE Anual'!I10+'DRE Anual'!I12</f>
        <v>-505387.08518332</v>
      </c>
      <c r="J13" s="68" t="n">
        <f aca="false">'DRE Anual'!J9+'DRE Anual'!J10+'DRE Anual'!J12</f>
        <v>-427277.472265125</v>
      </c>
      <c r="K13" s="63" t="n">
        <f aca="false">-Premissas!$D$60*12-K10*0.0655-IF((K10-Premissas!$D$60*12-K10*0.0655)&gt;0,K10*0.0768,0)</f>
        <v>-1751067.8308545</v>
      </c>
      <c r="L13" s="63" t="n">
        <f aca="false">-Premissas!$E$60*12-L10*0.0655-IF((L10-Premissas!$E$60*12-L10*0.0655)&gt;0,L10*0.0768,0)</f>
        <v>-555014.249175504</v>
      </c>
      <c r="M13" s="63" t="n">
        <f aca="false">-Premissas!$F$60*12-M10*0.0655-IF((M10-Premissas!$F$60*12-M10*0.0655)&gt;0,M10*0.0768,0)</f>
        <v>-301545.847171463</v>
      </c>
      <c r="N13" s="63" t="n">
        <f aca="false">-Premissas!$D$61*12-N10*0.0655-IF((N10-Premissas!$D$61*12-N10*0.0655)&gt;0,N10*0.0768,0)</f>
        <v>-3095910.36277485</v>
      </c>
      <c r="O13" s="63" t="n">
        <f aca="false">-Premissas!$E$61*12-O10*0.0655-IF((O10-Premissas!$E$61*12-O10*0.0655)&gt;0,O10*0.0768,0)</f>
        <v>-895006.599726605</v>
      </c>
      <c r="P13" s="63" t="n">
        <f aca="false">-Premissas!$F$61*12-P10*0.0655-IF((P10-Premissas!$F$61*12-P10*0.0655)&gt;0,P10*0.0768,0)</f>
        <v>-421902.135208609</v>
      </c>
    </row>
    <row r="15" customFormat="false" ht="15" hidden="false" customHeight="true" outlineLevel="0" collapsed="false">
      <c r="A15" s="43" t="s">
        <v>343</v>
      </c>
      <c r="B15" s="44" t="n">
        <f aca="false">B10+B13</f>
        <v>-3618.94464</v>
      </c>
      <c r="C15" s="44" t="n">
        <f aca="false">C10+C13</f>
        <v>-6710.2209284</v>
      </c>
      <c r="D15" s="44" t="n">
        <f aca="false">D10+D13</f>
        <v>-7169.233006875</v>
      </c>
      <c r="E15" s="44" t="n">
        <f aca="false">E10+E13</f>
        <v>91221.1238765</v>
      </c>
      <c r="F15" s="44" t="n">
        <f aca="false">F10+F13</f>
        <v>-158560.5331258</v>
      </c>
      <c r="G15" s="44" t="n">
        <f aca="false">G10+G13</f>
        <v>-224082.74755225</v>
      </c>
      <c r="H15" s="44" t="n">
        <f aca="false">H10+H13</f>
        <v>3537936.807285</v>
      </c>
      <c r="I15" s="44" t="n">
        <f aca="false">I10+I13</f>
        <v>48605.13521668</v>
      </c>
      <c r="J15" s="44" t="n">
        <f aca="false">J10+J13</f>
        <v>-408067.363015125</v>
      </c>
      <c r="K15" s="44" t="n">
        <f aca="false">K10+K13</f>
        <v>6759598.5841455</v>
      </c>
      <c r="L15" s="44" t="n">
        <f aca="false">L10+L13</f>
        <v>393785.815304496</v>
      </c>
      <c r="M15" s="44" t="n">
        <f aca="false">M10+M13</f>
        <v>-277945.126996462</v>
      </c>
      <c r="N15" s="44" t="n">
        <f aca="false">N10+N13</f>
        <v>12757289.6567252</v>
      </c>
      <c r="O15" s="44" t="n">
        <f aca="false">O10+O13</f>
        <v>756480.397649395</v>
      </c>
      <c r="P15" s="44" t="n">
        <f aca="false">P10+P13</f>
        <v>-392861.903016109</v>
      </c>
    </row>
    <row r="16" customFormat="false" ht="15" hidden="false" customHeight="true" outlineLevel="0" collapsed="false">
      <c r="A16" s="32" t="s">
        <v>213</v>
      </c>
      <c r="B16" s="73" t="n">
        <f aca="false">IFERROR(B15/B10,0)</f>
        <v>-0.943376876876877</v>
      </c>
      <c r="C16" s="73" t="n">
        <f aca="false">IFERROR(C15/C10,0)</f>
        <v>-12.7894220065352</v>
      </c>
      <c r="D16" s="73" t="n">
        <f aca="false">IFERROR(D15/D10,0)</f>
        <v>-217.521386790306</v>
      </c>
      <c r="E16" s="73" t="n">
        <f aca="false">IFERROR(E15/E10,0)</f>
        <v>0.243590995133728</v>
      </c>
      <c r="F16" s="73" t="n">
        <f aca="false">IFERROR(F15/F10,0)</f>
        <v>-2.08357782210061</v>
      </c>
      <c r="G16" s="73" t="n">
        <f aca="false">IFERROR(G15/G10,0)</f>
        <v>-37.9140245658565</v>
      </c>
      <c r="H16" s="73" t="n">
        <f aca="false">IFERROR(H15/H10,0)</f>
        <v>0.76463137788441</v>
      </c>
      <c r="I16" s="73" t="n">
        <f aca="false">IFERROR(I15/I10,0)</f>
        <v>0.0877361331565008</v>
      </c>
      <c r="J16" s="73" t="n">
        <f aca="false">IFERROR(J15/J10,0)</f>
        <v>-21.2423239089661</v>
      </c>
      <c r="K16" s="73" t="n">
        <f aca="false">IFERROR(K15/K10,0)</f>
        <v>0.794250209623038</v>
      </c>
      <c r="L16" s="73" t="n">
        <f aca="false">IFERROR(L15/L10,0)</f>
        <v>0.415035611870784</v>
      </c>
      <c r="M16" s="73" t="n">
        <f aca="false">IFERROR(M15/M10,0)</f>
        <v>-11.7769765047631</v>
      </c>
      <c r="N16" s="73" t="n">
        <f aca="false">IFERROR(N15/N10,0)</f>
        <v>0.804713852158128</v>
      </c>
      <c r="O16" s="73" t="n">
        <f aca="false">IFERROR(O15/O10,0)</f>
        <v>0.45806015963271</v>
      </c>
      <c r="P16" s="73" t="n">
        <f aca="false">IFERROR(P15/P10,0)</f>
        <v>-13.5281942792995</v>
      </c>
    </row>
    <row r="18" customFormat="false" ht="15" hidden="false" customHeight="true" outlineLevel="0" collapsed="false">
      <c r="A18" s="94" t="s">
        <v>344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</row>
    <row r="19" customFormat="false" ht="15" hidden="false" customHeight="true" outlineLevel="0" collapsed="false">
      <c r="A19" s="18" t="s">
        <v>345</v>
      </c>
      <c r="B19" s="63" t="n">
        <f aca="false">-'Investimento Inicial'!$D$20</f>
        <v>-65700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</row>
    <row r="20" customFormat="false" ht="15" hidden="false" customHeight="true" outlineLevel="0" collapsed="false">
      <c r="A20" s="14" t="s">
        <v>346</v>
      </c>
      <c r="B20" s="64" t="n">
        <f aca="false">-'Investimento Inicial'!$D$20+B15</f>
        <v>-69318.94464</v>
      </c>
      <c r="C20" s="64" t="n">
        <f aca="false">-'Investimento Inicial'!$D$20+C15</f>
        <v>-72410.2209284</v>
      </c>
      <c r="D20" s="64" t="n">
        <f aca="false">-'Investimento Inicial'!$D$20+D15</f>
        <v>-72869.233006875</v>
      </c>
      <c r="E20" s="64" t="n">
        <f aca="false">B20+E15</f>
        <v>21902.1792365</v>
      </c>
      <c r="F20" s="64" t="n">
        <f aca="false">C20+F15</f>
        <v>-230970.7540542</v>
      </c>
      <c r="G20" s="64" t="n">
        <f aca="false">D20+G15</f>
        <v>-296951.980559125</v>
      </c>
      <c r="H20" s="64" t="n">
        <f aca="false">E20+H15</f>
        <v>3559838.9865215</v>
      </c>
      <c r="I20" s="64" t="n">
        <f aca="false">F20+I15</f>
        <v>-182365.61883752</v>
      </c>
      <c r="J20" s="64" t="n">
        <f aca="false">G20+J15</f>
        <v>-705019.34357425</v>
      </c>
      <c r="K20" s="64" t="n">
        <f aca="false">H20+K15</f>
        <v>10319437.570667</v>
      </c>
      <c r="L20" s="64" t="n">
        <f aca="false">I20+L15</f>
        <v>211420.196466976</v>
      </c>
      <c r="M20" s="64" t="n">
        <f aca="false">J20+M15</f>
        <v>-982964.470570713</v>
      </c>
      <c r="N20" s="64" t="n">
        <f aca="false">K20+N15</f>
        <v>23076727.2273922</v>
      </c>
      <c r="O20" s="64" t="n">
        <f aca="false">L20+O15</f>
        <v>967900.594116371</v>
      </c>
      <c r="P20" s="64" t="n">
        <f aca="false">M20+P15</f>
        <v>-1375826.37358682</v>
      </c>
    </row>
    <row r="22" customFormat="false" ht="15" hidden="false" customHeight="true" outlineLevel="0" collapsed="false">
      <c r="A22" s="94" t="s">
        <v>347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</row>
    <row r="23" customFormat="false" ht="15" hidden="false" customHeight="true" outlineLevel="0" collapsed="false">
      <c r="A23" s="18" t="s">
        <v>348</v>
      </c>
      <c r="B23" s="68" t="n">
        <f aca="false">B9</f>
        <v>0</v>
      </c>
      <c r="C23" s="68" t="n">
        <f aca="false">C9</f>
        <v>0</v>
      </c>
      <c r="D23" s="68" t="n">
        <f aca="false">D9</f>
        <v>0</v>
      </c>
      <c r="E23" s="68" t="n">
        <f aca="false">E9</f>
        <v>15030</v>
      </c>
      <c r="F23" s="68" t="n">
        <f aca="false">F9</f>
        <v>9108</v>
      </c>
      <c r="G23" s="68" t="n">
        <f aca="false">G9</f>
        <v>2001</v>
      </c>
      <c r="H23" s="68" t="n">
        <f aca="false">H9</f>
        <v>121050</v>
      </c>
      <c r="I23" s="68" t="n">
        <f aca="false">I9</f>
        <v>61974</v>
      </c>
      <c r="J23" s="68" t="n">
        <f aca="false">J9</f>
        <v>5796</v>
      </c>
      <c r="K23" s="68" t="n">
        <f aca="false">K9</f>
        <v>338940</v>
      </c>
      <c r="L23" s="68" t="n">
        <f aca="false">L9</f>
        <v>142540.2</v>
      </c>
      <c r="M23" s="68" t="n">
        <f aca="false">M9</f>
        <v>7534.8</v>
      </c>
      <c r="N23" s="68" t="n">
        <f aca="false">N9</f>
        <v>949032</v>
      </c>
      <c r="O23" s="68" t="n">
        <f aca="false">O9</f>
        <v>327842.46</v>
      </c>
      <c r="P23" s="68" t="n">
        <f aca="false">P9</f>
        <v>9795.24</v>
      </c>
    </row>
  </sheetData>
  <mergeCells count="11">
    <mergeCell ref="A1:Q1"/>
    <mergeCell ref="A2:Q2"/>
    <mergeCell ref="B4:D4"/>
    <mergeCell ref="E4:G4"/>
    <mergeCell ref="H4:J4"/>
    <mergeCell ref="K4:M4"/>
    <mergeCell ref="N4:P4"/>
    <mergeCell ref="A6:Q6"/>
    <mergeCell ref="A12:Q12"/>
    <mergeCell ref="A18:Q18"/>
    <mergeCell ref="A22:Q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8"/>
  </cols>
  <sheetData>
    <row r="1" customFormat="false" ht="30" hidden="false" customHeight="true" outlineLevel="0" collapsed="false">
      <c r="A1" s="26" t="s">
        <v>349</v>
      </c>
      <c r="B1" s="26"/>
      <c r="C1" s="26"/>
      <c r="D1" s="26"/>
      <c r="E1" s="26"/>
    </row>
    <row r="2" customFormat="false" ht="15" hidden="false" customHeight="true" outlineLevel="0" collapsed="false">
      <c r="A2" s="3" t="s">
        <v>350</v>
      </c>
      <c r="B2" s="3"/>
      <c r="C2" s="3"/>
      <c r="D2" s="3"/>
      <c r="E2" s="3"/>
    </row>
    <row r="4" customFormat="false" ht="15" hidden="false" customHeight="true" outlineLevel="0" collapsed="false">
      <c r="A4" s="17" t="s">
        <v>216</v>
      </c>
      <c r="B4" s="17" t="s">
        <v>20</v>
      </c>
      <c r="C4" s="17" t="s">
        <v>21</v>
      </c>
      <c r="D4" s="17" t="s">
        <v>22</v>
      </c>
      <c r="E4" s="17" t="s">
        <v>351</v>
      </c>
    </row>
    <row r="5" customFormat="false" ht="15" hidden="false" customHeight="true" outlineLevel="0" collapsed="false">
      <c r="A5" s="94" t="s">
        <v>352</v>
      </c>
      <c r="B5" s="94"/>
      <c r="C5" s="94"/>
      <c r="D5" s="94"/>
      <c r="E5" s="94"/>
    </row>
    <row r="6" customFormat="false" ht="15" hidden="false" customHeight="true" outlineLevel="0" collapsed="false">
      <c r="A6" s="18" t="s">
        <v>353</v>
      </c>
      <c r="B6" s="68" t="n">
        <f aca="false">'Métricas SaaS'!B11</f>
        <v>300</v>
      </c>
      <c r="C6" s="68" t="n">
        <f aca="false">'Métricas SaaS'!C11</f>
        <v>750</v>
      </c>
      <c r="D6" s="68" t="n">
        <f aca="false">'Métricas SaaS'!D11</f>
        <v>-48000</v>
      </c>
      <c r="E6" s="32" t="s">
        <v>354</v>
      </c>
    </row>
    <row r="7" customFormat="false" ht="15" hidden="false" customHeight="true" outlineLevel="0" collapsed="false">
      <c r="A7" s="18" t="s">
        <v>224</v>
      </c>
      <c r="B7" s="68" t="n">
        <f aca="false">'Métricas SaaS'!B10</f>
        <v>1800</v>
      </c>
      <c r="C7" s="68" t="n">
        <f aca="false">'Métricas SaaS'!C10</f>
        <v>1980</v>
      </c>
      <c r="D7" s="68" t="n">
        <f aca="false">'Métricas SaaS'!D10</f>
        <v>575</v>
      </c>
      <c r="E7" s="32" t="s">
        <v>355</v>
      </c>
    </row>
    <row r="8" customFormat="false" ht="15" hidden="false" customHeight="true" outlineLevel="0" collapsed="false">
      <c r="A8" s="43" t="s">
        <v>356</v>
      </c>
      <c r="B8" s="95" t="n">
        <f aca="false">'Métricas SaaS'!B12</f>
        <v>6</v>
      </c>
      <c r="C8" s="95" t="n">
        <f aca="false">'Métricas SaaS'!C12</f>
        <v>2.64</v>
      </c>
      <c r="D8" s="95" t="n">
        <f aca="false">'Métricas SaaS'!D12</f>
        <v>-0.0119791666666667</v>
      </c>
      <c r="E8" s="32" t="s">
        <v>357</v>
      </c>
    </row>
    <row r="9" customFormat="false" ht="15" hidden="false" customHeight="true" outlineLevel="0" collapsed="false">
      <c r="A9" s="18" t="s">
        <v>358</v>
      </c>
      <c r="B9" s="96" t="n">
        <f aca="false">'Métricas SaaS'!B13</f>
        <v>3.33333333333333</v>
      </c>
      <c r="C9" s="96" t="n">
        <f aca="false">'Métricas SaaS'!C13</f>
        <v>7.57575757575758</v>
      </c>
      <c r="D9" s="96" t="n">
        <f aca="false">'Métricas SaaS'!D13</f>
        <v>-695.652173913044</v>
      </c>
      <c r="E9" s="32" t="s">
        <v>359</v>
      </c>
    </row>
    <row r="10" customFormat="false" ht="15" hidden="false" customHeight="true" outlineLevel="0" collapsed="false">
      <c r="A10" s="18" t="s">
        <v>223</v>
      </c>
      <c r="B10" s="76" t="n">
        <f aca="false">'Métricas SaaS'!B9</f>
        <v>0.05</v>
      </c>
      <c r="C10" s="76" t="n">
        <f aca="false">'Métricas SaaS'!C9</f>
        <v>0.05</v>
      </c>
      <c r="D10" s="76" t="n">
        <f aca="false">'Métricas SaaS'!D9</f>
        <v>0.12</v>
      </c>
      <c r="E10" s="32" t="s">
        <v>360</v>
      </c>
    </row>
    <row r="12" customFormat="false" ht="15" hidden="false" customHeight="true" outlineLevel="0" collapsed="false">
      <c r="A12" s="94" t="s">
        <v>361</v>
      </c>
      <c r="B12" s="94"/>
      <c r="C12" s="94"/>
      <c r="D12" s="94"/>
      <c r="E12" s="94"/>
    </row>
    <row r="13" customFormat="false" ht="15" hidden="false" customHeight="true" outlineLevel="0" collapsed="false">
      <c r="A13" s="18" t="s">
        <v>33</v>
      </c>
      <c r="B13" s="68" t="n">
        <f aca="false">'Métricas SaaS'!B5</f>
        <v>17550</v>
      </c>
      <c r="C13" s="68" t="n">
        <f aca="false">'Métricas SaaS'!C5</f>
        <v>8316</v>
      </c>
      <c r="D13" s="68" t="n">
        <f aca="false">'Métricas SaaS'!D5</f>
        <v>483</v>
      </c>
      <c r="E13" s="32" t="s">
        <v>362</v>
      </c>
    </row>
    <row r="14" customFormat="false" ht="15" hidden="false" customHeight="true" outlineLevel="0" collapsed="false">
      <c r="A14" s="18" t="s">
        <v>363</v>
      </c>
      <c r="B14" s="68" t="n">
        <f aca="false">'Projeção 5 Anos'!N9/12</f>
        <v>79086</v>
      </c>
      <c r="C14" s="68" t="n">
        <f aca="false">'Projeção 5 Anos'!O9/12</f>
        <v>27320.205</v>
      </c>
      <c r="D14" s="68" t="n">
        <f aca="false">'Projeção 5 Anos'!P9/12</f>
        <v>816.27</v>
      </c>
      <c r="E14" s="32" t="s">
        <v>364</v>
      </c>
    </row>
    <row r="15" customFormat="false" ht="15" hidden="false" customHeight="true" outlineLevel="0" collapsed="false">
      <c r="A15" s="43" t="s">
        <v>365</v>
      </c>
      <c r="B15" s="44" t="n">
        <f aca="false">'Projeção 5 Anos'!N9</f>
        <v>949032</v>
      </c>
      <c r="C15" s="44" t="n">
        <f aca="false">'Projeção 5 Anos'!O9</f>
        <v>327842.46</v>
      </c>
      <c r="D15" s="44" t="n">
        <f aca="false">'Projeção 5 Anos'!P9</f>
        <v>9795.24</v>
      </c>
      <c r="E15" s="32" t="s">
        <v>366</v>
      </c>
    </row>
    <row r="16" customFormat="false" ht="15" hidden="false" customHeight="true" outlineLevel="0" collapsed="false">
      <c r="A16" s="18" t="s">
        <v>367</v>
      </c>
      <c r="B16" s="73" t="n">
        <f aca="false">IFERROR(('Projeção 5 Anos'!N9/'Projeção 5 Anos'!H9)^(1/2)-1,0)</f>
        <v>1.8</v>
      </c>
      <c r="C16" s="73" t="n">
        <f aca="false">IFERROR(('Projeção 5 Anos'!O9/'Projeção 5 Anos'!I9)^(1/2)-1,0)</f>
        <v>1.3</v>
      </c>
      <c r="D16" s="73" t="n">
        <f aca="false">IFERROR(('Projeção 5 Anos'!P9/'Projeção 5 Anos'!J9)^(1/2)-1,0)</f>
        <v>0.3</v>
      </c>
      <c r="E16" s="32" t="s">
        <v>368</v>
      </c>
    </row>
    <row r="18" customFormat="false" ht="15" hidden="false" customHeight="true" outlineLevel="0" collapsed="false">
      <c r="A18" s="94" t="s">
        <v>369</v>
      </c>
      <c r="B18" s="94"/>
      <c r="C18" s="94"/>
      <c r="D18" s="94"/>
      <c r="E18" s="94"/>
    </row>
    <row r="19" customFormat="false" ht="15" hidden="false" customHeight="true" outlineLevel="0" collapsed="false">
      <c r="A19" s="18" t="s">
        <v>370</v>
      </c>
      <c r="B19" s="68" t="n">
        <f aca="false">'Projeção 5 Anos'!N10</f>
        <v>15853200.0195</v>
      </c>
      <c r="C19" s="68" t="n">
        <f aca="false">'Projeção 5 Anos'!O10</f>
        <v>1651486.997376</v>
      </c>
      <c r="D19" s="68" t="n">
        <f aca="false">'Projeção 5 Anos'!P10</f>
        <v>29040.2321925</v>
      </c>
    </row>
    <row r="20" customFormat="false" ht="15" hidden="false" customHeight="true" outlineLevel="0" collapsed="false">
      <c r="A20" s="18" t="s">
        <v>371</v>
      </c>
      <c r="B20" s="68" t="n">
        <f aca="false">'Projeção 5 Anos'!N15</f>
        <v>12757289.6567252</v>
      </c>
      <c r="C20" s="68" t="n">
        <f aca="false">'Projeção 5 Anos'!O15</f>
        <v>756480.397649395</v>
      </c>
      <c r="D20" s="68" t="n">
        <f aca="false">'Projeção 5 Anos'!P15</f>
        <v>-392861.903016109</v>
      </c>
    </row>
    <row r="21" customFormat="false" ht="15" hidden="false" customHeight="true" outlineLevel="0" collapsed="false">
      <c r="A21" s="18" t="s">
        <v>372</v>
      </c>
      <c r="B21" s="76" t="n">
        <f aca="false">'Projeção 5 Anos'!N16</f>
        <v>0.804713852158128</v>
      </c>
      <c r="C21" s="76" t="n">
        <f aca="false">'Projeção 5 Anos'!O16</f>
        <v>0.45806015963271</v>
      </c>
      <c r="D21" s="76" t="n">
        <f aca="false">'Projeção 5 Anos'!P16</f>
        <v>-13.5281942792995</v>
      </c>
      <c r="E21" s="32" t="s">
        <v>373</v>
      </c>
    </row>
    <row r="22" customFormat="false" ht="15" hidden="false" customHeight="true" outlineLevel="0" collapsed="false">
      <c r="A22" s="43" t="s">
        <v>374</v>
      </c>
      <c r="B22" s="97" t="n">
        <f aca="false">B16+B21</f>
        <v>2.60471385215813</v>
      </c>
      <c r="C22" s="97" t="n">
        <f aca="false">C16+C21</f>
        <v>1.75806015963271</v>
      </c>
      <c r="D22" s="97" t="n">
        <f aca="false">D16+D21</f>
        <v>-13.2281942792995</v>
      </c>
      <c r="E22" s="32" t="s">
        <v>375</v>
      </c>
    </row>
    <row r="24" customFormat="false" ht="15" hidden="false" customHeight="true" outlineLevel="0" collapsed="false">
      <c r="A24" s="94" t="s">
        <v>376</v>
      </c>
      <c r="B24" s="94"/>
      <c r="C24" s="94"/>
      <c r="D24" s="94"/>
      <c r="E24" s="94"/>
    </row>
    <row r="25" customFormat="false" ht="15" hidden="false" customHeight="true" outlineLevel="0" collapsed="false">
      <c r="A25" s="18" t="s">
        <v>377</v>
      </c>
      <c r="B25" s="63" t="n">
        <f aca="false">IF('DRE Anual'!H11&lt;0,-'DRE Anual'!H11/12,0)</f>
        <v>0</v>
      </c>
      <c r="C25" s="63" t="n">
        <f aca="false">IF('DRE Anual'!I11&lt;0,-'DRE Anual'!I11/12,0)</f>
        <v>0</v>
      </c>
      <c r="D25" s="63" t="n">
        <f aca="false">IF('DRE Anual'!J11&lt;0,-'DRE Anual'!J11/12,0)</f>
        <v>34005.6135845938</v>
      </c>
      <c r="E25" s="32" t="s">
        <v>378</v>
      </c>
    </row>
    <row r="26" customFormat="false" ht="15" hidden="false" customHeight="true" outlineLevel="0" collapsed="false">
      <c r="A26" s="18" t="s">
        <v>379</v>
      </c>
      <c r="B26" s="63" t="n">
        <f aca="false">MIN('Projeção Mensal'!B24:AC24)</f>
        <v>-6657.8341915</v>
      </c>
      <c r="C26" s="63" t="n">
        <f aca="false">MIN('Projeção Mensal'!B48:AC48)</f>
        <v>-232137.8430172</v>
      </c>
      <c r="D26" s="63" t="n">
        <f aca="false">MIN('Projeção Mensal'!B72:AC72)</f>
        <v>-639319.34357425</v>
      </c>
      <c r="E26" s="32" t="s">
        <v>380</v>
      </c>
    </row>
    <row r="28" customFormat="false" ht="15" hidden="false" customHeight="true" outlineLevel="0" collapsed="false">
      <c r="A28" s="69" t="s">
        <v>381</v>
      </c>
    </row>
    <row r="29" customFormat="false" ht="15" hidden="false" customHeight="true" outlineLevel="0" collapsed="false">
      <c r="A29" s="79" t="s">
        <v>382</v>
      </c>
      <c r="B29" s="79"/>
      <c r="C29" s="79"/>
      <c r="D29" s="79"/>
      <c r="E29" s="79"/>
    </row>
    <row r="30" customFormat="false" ht="15" hidden="false" customHeight="true" outlineLevel="0" collapsed="false">
      <c r="A30" s="79" t="s">
        <v>383</v>
      </c>
      <c r="B30" s="79"/>
      <c r="C30" s="79"/>
      <c r="D30" s="79"/>
      <c r="E30" s="79"/>
    </row>
    <row r="31" customFormat="false" ht="15" hidden="false" customHeight="true" outlineLevel="0" collapsed="false">
      <c r="A31" s="79" t="s">
        <v>384</v>
      </c>
      <c r="B31" s="79"/>
      <c r="C31" s="79"/>
      <c r="D31" s="79"/>
      <c r="E31" s="79"/>
    </row>
    <row r="32" customFormat="false" ht="15" hidden="false" customHeight="true" outlineLevel="0" collapsed="false">
      <c r="A32" s="79" t="s">
        <v>385</v>
      </c>
      <c r="B32" s="79"/>
      <c r="C32" s="79"/>
      <c r="D32" s="79"/>
      <c r="E32" s="79"/>
    </row>
    <row r="33" customFormat="false" ht="15" hidden="false" customHeight="true" outlineLevel="0" collapsed="false">
      <c r="A33" s="79" t="s">
        <v>386</v>
      </c>
      <c r="B33" s="79"/>
      <c r="C33" s="79"/>
      <c r="D33" s="79"/>
      <c r="E33" s="79"/>
    </row>
  </sheetData>
  <mergeCells count="11">
    <mergeCell ref="A1:E1"/>
    <mergeCell ref="A2:E2"/>
    <mergeCell ref="A5:E5"/>
    <mergeCell ref="A12:E12"/>
    <mergeCell ref="A18:E18"/>
    <mergeCell ref="A24:E24"/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6" t="s">
        <v>387</v>
      </c>
      <c r="B1" s="26"/>
      <c r="C1" s="26"/>
      <c r="D1" s="26"/>
      <c r="E1" s="26"/>
      <c r="F1" s="26"/>
    </row>
    <row r="2" customFormat="false" ht="15" hidden="false" customHeight="true" outlineLevel="0" collapsed="false">
      <c r="A2" s="3" t="s">
        <v>388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94" t="s">
        <v>389</v>
      </c>
      <c r="B4" s="94"/>
      <c r="C4" s="94"/>
      <c r="D4" s="94"/>
      <c r="E4" s="94"/>
      <c r="F4" s="94"/>
    </row>
    <row r="5" customFormat="false" ht="15" hidden="false" customHeight="true" outlineLevel="0" collapsed="false">
      <c r="A5" s="18" t="s">
        <v>390</v>
      </c>
      <c r="B5" s="98" t="s">
        <v>391</v>
      </c>
      <c r="C5" s="10" t="s">
        <v>392</v>
      </c>
      <c r="D5" s="10"/>
      <c r="E5" s="10"/>
      <c r="F5" s="10"/>
    </row>
    <row r="6" customFormat="false" ht="15" hidden="false" customHeight="true" outlineLevel="0" collapsed="false">
      <c r="A6" s="18" t="s">
        <v>393</v>
      </c>
      <c r="B6" s="98" t="s">
        <v>394</v>
      </c>
      <c r="C6" s="10" t="s">
        <v>395</v>
      </c>
      <c r="D6" s="10"/>
      <c r="E6" s="10"/>
      <c r="F6" s="10"/>
    </row>
    <row r="7" customFormat="false" ht="15" hidden="false" customHeight="true" outlineLevel="0" collapsed="false">
      <c r="A7" s="18" t="s">
        <v>396</v>
      </c>
      <c r="B7" s="98" t="s">
        <v>397</v>
      </c>
      <c r="C7" s="10" t="s">
        <v>398</v>
      </c>
      <c r="D7" s="10"/>
      <c r="E7" s="10"/>
      <c r="F7" s="10"/>
    </row>
    <row r="8" customFormat="false" ht="23.25" hidden="false" customHeight="true" outlineLevel="0" collapsed="false">
      <c r="A8" s="18" t="s">
        <v>399</v>
      </c>
      <c r="B8" s="98" t="s">
        <v>400</v>
      </c>
      <c r="C8" s="10" t="s">
        <v>401</v>
      </c>
      <c r="D8" s="10"/>
      <c r="E8" s="10"/>
      <c r="F8" s="10"/>
    </row>
    <row r="11" customFormat="false" ht="15" hidden="false" customHeight="true" outlineLevel="0" collapsed="false">
      <c r="A11" s="94" t="s">
        <v>402</v>
      </c>
      <c r="B11" s="94"/>
      <c r="C11" s="94"/>
      <c r="D11" s="94"/>
      <c r="E11" s="94"/>
      <c r="F11" s="94"/>
    </row>
    <row r="12" customFormat="false" ht="15" hidden="false" customHeight="true" outlineLevel="0" collapsed="false">
      <c r="A12" s="17" t="s">
        <v>216</v>
      </c>
      <c r="B12" s="17" t="s">
        <v>20</v>
      </c>
      <c r="C12" s="17" t="s">
        <v>21</v>
      </c>
      <c r="D12" s="17" t="s">
        <v>22</v>
      </c>
      <c r="E12" s="17" t="s">
        <v>403</v>
      </c>
      <c r="F12" s="17" t="s">
        <v>404</v>
      </c>
    </row>
    <row r="13" customFormat="false" ht="15" hidden="false" customHeight="true" outlineLevel="0" collapsed="false">
      <c r="A13" s="18" t="s">
        <v>405</v>
      </c>
      <c r="B13" s="68" t="n">
        <f aca="false">'Projeção 5 Anos'!N9</f>
        <v>949032</v>
      </c>
      <c r="C13" s="68" t="n">
        <f aca="false">'Projeção 5 Anos'!O9</f>
        <v>327842.46</v>
      </c>
      <c r="D13" s="68" t="n">
        <f aca="false">'Projeção 5 Anos'!P9</f>
        <v>9795.24</v>
      </c>
      <c r="E13" s="99" t="s">
        <v>406</v>
      </c>
      <c r="F13" s="32" t="s">
        <v>407</v>
      </c>
    </row>
    <row r="14" customFormat="false" ht="15" hidden="false" customHeight="true" outlineLevel="0" collapsed="false">
      <c r="A14" s="18" t="s">
        <v>408</v>
      </c>
      <c r="B14" s="68" t="n">
        <f aca="false">'Projeção 5 Anos'!N7+'Projeção 5 Anos'!N8</f>
        <v>14904168.0195</v>
      </c>
      <c r="C14" s="68" t="n">
        <f aca="false">'Projeção 5 Anos'!O7+'Projeção 5 Anos'!O8</f>
        <v>1323644.537376</v>
      </c>
      <c r="D14" s="68" t="n">
        <f aca="false">'Projeção 5 Anos'!P7+'Projeção 5 Anos'!P8</f>
        <v>19244.9921925</v>
      </c>
      <c r="E14" s="99" t="s">
        <v>406</v>
      </c>
      <c r="F14" s="32" t="s">
        <v>409</v>
      </c>
    </row>
    <row r="16" customFormat="false" ht="15" hidden="false" customHeight="true" outlineLevel="0" collapsed="false">
      <c r="A16" s="58" t="s">
        <v>410</v>
      </c>
      <c r="B16" s="58"/>
      <c r="C16" s="58"/>
      <c r="D16" s="58"/>
      <c r="E16" s="58"/>
      <c r="F16" s="58"/>
    </row>
    <row r="17" customFormat="false" ht="15" hidden="false" customHeight="true" outlineLevel="0" collapsed="false">
      <c r="A17" s="18" t="s">
        <v>411</v>
      </c>
      <c r="B17" s="63" t="n">
        <f aca="false">B13*4+B14*2</f>
        <v>33604464.039</v>
      </c>
      <c r="C17" s="63" t="n">
        <f aca="false">C13*4+C14*2</f>
        <v>3958658.914752</v>
      </c>
      <c r="D17" s="63" t="n">
        <f aca="false">D13*4+D14*2</f>
        <v>77670.944385</v>
      </c>
      <c r="E17" s="99" t="s">
        <v>412</v>
      </c>
      <c r="F17" s="32" t="s">
        <v>413</v>
      </c>
    </row>
    <row r="18" customFormat="false" ht="15" hidden="false" customHeight="true" outlineLevel="0" collapsed="false">
      <c r="A18" s="8" t="s">
        <v>414</v>
      </c>
      <c r="B18" s="100" t="n">
        <f aca="false">B13*8+B14*3</f>
        <v>52304760.0585</v>
      </c>
      <c r="C18" s="100" t="n">
        <f aca="false">C13*8+C14*3</f>
        <v>6593673.292128</v>
      </c>
      <c r="D18" s="100" t="n">
        <f aca="false">D13*8+D14*3</f>
        <v>136096.8965775</v>
      </c>
      <c r="E18" s="99" t="s">
        <v>415</v>
      </c>
      <c r="F18" s="32" t="s">
        <v>416</v>
      </c>
    </row>
    <row r="19" customFormat="false" ht="15" hidden="false" customHeight="true" outlineLevel="0" collapsed="false">
      <c r="A19" s="18" t="s">
        <v>417</v>
      </c>
      <c r="B19" s="63" t="n">
        <f aca="false">B13*12+B14*4</f>
        <v>71005056.078</v>
      </c>
      <c r="C19" s="63" t="n">
        <f aca="false">C13*12+C14*4</f>
        <v>9228687.669504</v>
      </c>
      <c r="D19" s="63" t="n">
        <f aca="false">D13*12+D14*4</f>
        <v>194522.84877</v>
      </c>
      <c r="E19" s="99" t="s">
        <v>418</v>
      </c>
      <c r="F19" s="32" t="s">
        <v>419</v>
      </c>
    </row>
    <row r="21" customFormat="false" ht="15" hidden="false" customHeight="true" outlineLevel="0" collapsed="false">
      <c r="A21" s="94" t="s">
        <v>420</v>
      </c>
      <c r="B21" s="94"/>
      <c r="C21" s="94"/>
      <c r="D21" s="94"/>
      <c r="E21" s="94"/>
      <c r="F21" s="94"/>
    </row>
    <row r="22" customFormat="false" ht="18" hidden="false" customHeight="true" outlineLevel="0" collapsed="false">
      <c r="A22" s="79" t="s">
        <v>421</v>
      </c>
      <c r="B22" s="79"/>
      <c r="C22" s="79"/>
      <c r="D22" s="79"/>
      <c r="E22" s="79"/>
      <c r="F22" s="79"/>
    </row>
    <row r="23" customFormat="false" ht="18" hidden="false" customHeight="true" outlineLevel="0" collapsed="false">
      <c r="A23" s="79" t="s">
        <v>422</v>
      </c>
      <c r="B23" s="79"/>
      <c r="C23" s="79"/>
      <c r="D23" s="79"/>
      <c r="E23" s="79"/>
      <c r="F23" s="79"/>
    </row>
    <row r="24" customFormat="false" ht="18" hidden="false" customHeight="true" outlineLevel="0" collapsed="false">
      <c r="A24" s="79" t="s">
        <v>423</v>
      </c>
      <c r="B24" s="79"/>
      <c r="C24" s="79"/>
      <c r="D24" s="79"/>
      <c r="E24" s="79"/>
      <c r="F24" s="79"/>
    </row>
    <row r="25" customFormat="false" ht="18" hidden="false" customHeight="true" outlineLevel="0" collapsed="false">
      <c r="A25" s="79" t="s">
        <v>424</v>
      </c>
      <c r="B25" s="79"/>
      <c r="C25" s="79"/>
      <c r="D25" s="79"/>
      <c r="E25" s="79"/>
      <c r="F25" s="79"/>
    </row>
    <row r="26" customFormat="false" ht="18" hidden="false" customHeight="true" outlineLevel="0" collapsed="false">
      <c r="A26" s="79" t="s">
        <v>425</v>
      </c>
      <c r="B26" s="79"/>
      <c r="C26" s="79"/>
      <c r="D26" s="79"/>
      <c r="E26" s="79"/>
      <c r="F26" s="79"/>
    </row>
  </sheetData>
  <mergeCells count="15">
    <mergeCell ref="A1:F1"/>
    <mergeCell ref="A2:F2"/>
    <mergeCell ref="A4:F4"/>
    <mergeCell ref="C5:F5"/>
    <mergeCell ref="C6:F6"/>
    <mergeCell ref="C7:F7"/>
    <mergeCell ref="C8:F8"/>
    <mergeCell ref="A11:F11"/>
    <mergeCell ref="A16:F16"/>
    <mergeCell ref="A21:F21"/>
    <mergeCell ref="A22:F22"/>
    <mergeCell ref="A23:F23"/>
    <mergeCell ref="A24:F24"/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2026-05-20T12:41:35Z</dcterms:created>
  <dc:creator>openpyxl</dc:creator>
  <dc:description/>
  <dc:language>en-US</dc:language>
  <cp:lastModifiedBy/>
  <dcterms:modified xsi:type="dcterms:W3CDTF">2026-05-20T13:14:36Z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